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VO 001.DESKTOP-QPF7INF\Downloads\"/>
    </mc:Choice>
  </mc:AlternateContent>
  <xr:revisionPtr revIDLastSave="0" documentId="13_ncr:1_{33E8B449-4EB1-45F2-B5D2-66A8FF2A08B6}" xr6:coauthVersionLast="47" xr6:coauthVersionMax="47" xr10:uidLastSave="{00000000-0000-0000-0000-000000000000}"/>
  <bookViews>
    <workbookView xWindow="-120" yWindow="-120" windowWidth="20730" windowHeight="11040" xr2:uid="{7059A519-6C77-4036-8C24-F1DE5ED1D2F3}"/>
  </bookViews>
  <sheets>
    <sheet name="Sheet1" sheetId="1" r:id="rId1"/>
  </sheets>
  <definedNames>
    <definedName name="_xlnm._FilterDatabase" localSheetId="0" hidden="1">Sheet1!$A$1:$AE$148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2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4" i="1"/>
  <c r="W3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2" i="1"/>
  <c r="P148" i="1"/>
  <c r="P147" i="1"/>
  <c r="P146" i="1"/>
  <c r="P145" i="1"/>
  <c r="R145" i="1" s="1"/>
  <c r="S145" i="1" s="1"/>
  <c r="P144" i="1"/>
  <c r="R144" i="1" s="1"/>
  <c r="S144" i="1" s="1"/>
  <c r="P143" i="1"/>
  <c r="P142" i="1"/>
  <c r="P141" i="1"/>
  <c r="R141" i="1" s="1"/>
  <c r="S141" i="1" s="1"/>
  <c r="P140" i="1"/>
  <c r="P139" i="1"/>
  <c r="P138" i="1"/>
  <c r="P137" i="1"/>
  <c r="R137" i="1" s="1"/>
  <c r="S137" i="1" s="1"/>
  <c r="P136" i="1"/>
  <c r="R136" i="1" s="1"/>
  <c r="S136" i="1" s="1"/>
  <c r="P135" i="1"/>
  <c r="P134" i="1"/>
  <c r="P133" i="1"/>
  <c r="R133" i="1" s="1"/>
  <c r="S133" i="1" s="1"/>
  <c r="P132" i="1"/>
  <c r="P131" i="1"/>
  <c r="P130" i="1"/>
  <c r="P129" i="1"/>
  <c r="R129" i="1" s="1"/>
  <c r="S129" i="1" s="1"/>
  <c r="P128" i="1"/>
  <c r="R128" i="1" s="1"/>
  <c r="S128" i="1" s="1"/>
  <c r="P127" i="1"/>
  <c r="P126" i="1"/>
  <c r="P125" i="1"/>
  <c r="R125" i="1" s="1"/>
  <c r="S125" i="1" s="1"/>
  <c r="P124" i="1"/>
  <c r="P123" i="1"/>
  <c r="P122" i="1"/>
  <c r="P121" i="1"/>
  <c r="R121" i="1" s="1"/>
  <c r="S121" i="1" s="1"/>
  <c r="P120" i="1"/>
  <c r="R120" i="1" s="1"/>
  <c r="S120" i="1" s="1"/>
  <c r="P119" i="1"/>
  <c r="P118" i="1"/>
  <c r="P117" i="1"/>
  <c r="R117" i="1" s="1"/>
  <c r="S117" i="1" s="1"/>
  <c r="P116" i="1"/>
  <c r="P115" i="1"/>
  <c r="P114" i="1"/>
  <c r="P113" i="1"/>
  <c r="R113" i="1" s="1"/>
  <c r="S113" i="1" s="1"/>
  <c r="P112" i="1"/>
  <c r="R112" i="1" s="1"/>
  <c r="S112" i="1" s="1"/>
  <c r="P111" i="1"/>
  <c r="P110" i="1"/>
  <c r="P109" i="1"/>
  <c r="R109" i="1" s="1"/>
  <c r="S109" i="1" s="1"/>
  <c r="P108" i="1"/>
  <c r="P107" i="1"/>
  <c r="P106" i="1"/>
  <c r="P105" i="1"/>
  <c r="R105" i="1" s="1"/>
  <c r="S105" i="1" s="1"/>
  <c r="P104" i="1"/>
  <c r="R104" i="1" s="1"/>
  <c r="S104" i="1" s="1"/>
  <c r="P103" i="1"/>
  <c r="P102" i="1"/>
  <c r="P101" i="1"/>
  <c r="R101" i="1" s="1"/>
  <c r="S101" i="1" s="1"/>
  <c r="P100" i="1"/>
  <c r="P99" i="1"/>
  <c r="P98" i="1"/>
  <c r="P97" i="1"/>
  <c r="R97" i="1" s="1"/>
  <c r="S97" i="1" s="1"/>
  <c r="P96" i="1"/>
  <c r="R96" i="1" s="1"/>
  <c r="S96" i="1" s="1"/>
  <c r="P95" i="1"/>
  <c r="P94" i="1"/>
  <c r="P93" i="1"/>
  <c r="R93" i="1" s="1"/>
  <c r="S93" i="1" s="1"/>
  <c r="P92" i="1"/>
  <c r="P91" i="1"/>
  <c r="P90" i="1"/>
  <c r="P89" i="1"/>
  <c r="R89" i="1" s="1"/>
  <c r="S89" i="1" s="1"/>
  <c r="P88" i="1"/>
  <c r="R88" i="1" s="1"/>
  <c r="S88" i="1" s="1"/>
  <c r="P87" i="1"/>
  <c r="P86" i="1"/>
  <c r="P85" i="1"/>
  <c r="R85" i="1" s="1"/>
  <c r="S85" i="1" s="1"/>
  <c r="P84" i="1"/>
  <c r="P83" i="1"/>
  <c r="P82" i="1"/>
  <c r="P81" i="1"/>
  <c r="R81" i="1" s="1"/>
  <c r="S81" i="1" s="1"/>
  <c r="P80" i="1"/>
  <c r="R80" i="1" s="1"/>
  <c r="S80" i="1" s="1"/>
  <c r="P79" i="1"/>
  <c r="P78" i="1"/>
  <c r="P77" i="1"/>
  <c r="R77" i="1" s="1"/>
  <c r="S77" i="1" s="1"/>
  <c r="P76" i="1"/>
  <c r="P75" i="1"/>
  <c r="P74" i="1"/>
  <c r="P73" i="1"/>
  <c r="R73" i="1" s="1"/>
  <c r="S73" i="1" s="1"/>
  <c r="P72" i="1"/>
  <c r="R72" i="1" s="1"/>
  <c r="S72" i="1" s="1"/>
  <c r="P71" i="1"/>
  <c r="P70" i="1"/>
  <c r="P69" i="1"/>
  <c r="R69" i="1" s="1"/>
  <c r="S69" i="1" s="1"/>
  <c r="P68" i="1"/>
  <c r="P67" i="1"/>
  <c r="P66" i="1"/>
  <c r="P65" i="1"/>
  <c r="R65" i="1" s="1"/>
  <c r="S65" i="1" s="1"/>
  <c r="P64" i="1"/>
  <c r="R64" i="1" s="1"/>
  <c r="S64" i="1" s="1"/>
  <c r="P63" i="1"/>
  <c r="P62" i="1"/>
  <c r="P61" i="1"/>
  <c r="R61" i="1" s="1"/>
  <c r="S61" i="1" s="1"/>
  <c r="P60" i="1"/>
  <c r="P59" i="1"/>
  <c r="P58" i="1"/>
  <c r="P57" i="1"/>
  <c r="R57" i="1" s="1"/>
  <c r="S57" i="1" s="1"/>
  <c r="P56" i="1"/>
  <c r="R56" i="1" s="1"/>
  <c r="S56" i="1" s="1"/>
  <c r="P55" i="1"/>
  <c r="P54" i="1"/>
  <c r="P53" i="1"/>
  <c r="R53" i="1" s="1"/>
  <c r="S53" i="1" s="1"/>
  <c r="P52" i="1"/>
  <c r="P51" i="1"/>
  <c r="P50" i="1"/>
  <c r="P49" i="1"/>
  <c r="R49" i="1" s="1"/>
  <c r="S49" i="1" s="1"/>
  <c r="P48" i="1"/>
  <c r="R48" i="1" s="1"/>
  <c r="S48" i="1" s="1"/>
  <c r="P47" i="1"/>
  <c r="P46" i="1"/>
  <c r="P45" i="1"/>
  <c r="R45" i="1" s="1"/>
  <c r="S45" i="1" s="1"/>
  <c r="P44" i="1"/>
  <c r="P43" i="1"/>
  <c r="P42" i="1"/>
  <c r="P41" i="1"/>
  <c r="R41" i="1" s="1"/>
  <c r="S41" i="1" s="1"/>
  <c r="P40" i="1"/>
  <c r="R40" i="1" s="1"/>
  <c r="S40" i="1" s="1"/>
  <c r="P39" i="1"/>
  <c r="P38" i="1"/>
  <c r="P37" i="1"/>
  <c r="R37" i="1" s="1"/>
  <c r="S37" i="1" s="1"/>
  <c r="P36" i="1"/>
  <c r="P35" i="1"/>
  <c r="P34" i="1"/>
  <c r="P33" i="1"/>
  <c r="R33" i="1" s="1"/>
  <c r="S33" i="1" s="1"/>
  <c r="P32" i="1"/>
  <c r="R32" i="1" s="1"/>
  <c r="S32" i="1" s="1"/>
  <c r="P31" i="1"/>
  <c r="P30" i="1"/>
  <c r="P29" i="1"/>
  <c r="R29" i="1" s="1"/>
  <c r="S29" i="1" s="1"/>
  <c r="P28" i="1"/>
  <c r="P27" i="1"/>
  <c r="P26" i="1"/>
  <c r="P25" i="1"/>
  <c r="R25" i="1" s="1"/>
  <c r="S25" i="1" s="1"/>
  <c r="P24" i="1"/>
  <c r="R24" i="1" s="1"/>
  <c r="S24" i="1" s="1"/>
  <c r="P23" i="1"/>
  <c r="P22" i="1"/>
  <c r="P21" i="1"/>
  <c r="R21" i="1" s="1"/>
  <c r="S21" i="1" s="1"/>
  <c r="P20" i="1"/>
  <c r="P19" i="1"/>
  <c r="P18" i="1"/>
  <c r="P17" i="1"/>
  <c r="R17" i="1" s="1"/>
  <c r="S17" i="1" s="1"/>
  <c r="P16" i="1"/>
  <c r="R16" i="1" s="1"/>
  <c r="S16" i="1" s="1"/>
  <c r="P15" i="1"/>
  <c r="R15" i="1" s="1"/>
  <c r="S15" i="1" s="1"/>
  <c r="P14" i="1"/>
  <c r="P13" i="1"/>
  <c r="R13" i="1" s="1"/>
  <c r="S13" i="1" s="1"/>
  <c r="P12" i="1"/>
  <c r="P11" i="1"/>
  <c r="P10" i="1"/>
  <c r="P9" i="1"/>
  <c r="R9" i="1" s="1"/>
  <c r="S9" i="1" s="1"/>
  <c r="P8" i="1"/>
  <c r="R8" i="1" s="1"/>
  <c r="S8" i="1" s="1"/>
  <c r="P7" i="1"/>
  <c r="R7" i="1" s="1"/>
  <c r="S7" i="1" s="1"/>
  <c r="P6" i="1"/>
  <c r="P5" i="1"/>
  <c r="R5" i="1" s="1"/>
  <c r="S5" i="1" s="1"/>
  <c r="P4" i="1"/>
  <c r="P3" i="1"/>
  <c r="P2" i="1"/>
  <c r="L3" i="1"/>
  <c r="O3" i="1" s="1"/>
  <c r="L4" i="1"/>
  <c r="O4" i="1" s="1"/>
  <c r="L5" i="1"/>
  <c r="O5" i="1" s="1"/>
  <c r="L6" i="1"/>
  <c r="O6" i="1" s="1"/>
  <c r="L7" i="1"/>
  <c r="O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O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L21" i="1"/>
  <c r="O21" i="1" s="1"/>
  <c r="L22" i="1"/>
  <c r="O22" i="1" s="1"/>
  <c r="L23" i="1"/>
  <c r="O23" i="1" s="1"/>
  <c r="L24" i="1"/>
  <c r="O24" i="1" s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O38" i="1" s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59" i="1"/>
  <c r="O59" i="1" s="1"/>
  <c r="L60" i="1"/>
  <c r="O60" i="1" s="1"/>
  <c r="L61" i="1"/>
  <c r="O61" i="1" s="1"/>
  <c r="L62" i="1"/>
  <c r="O62" i="1" s="1"/>
  <c r="L63" i="1"/>
  <c r="O63" i="1" s="1"/>
  <c r="L64" i="1"/>
  <c r="O64" i="1" s="1"/>
  <c r="L65" i="1"/>
  <c r="O65" i="1" s="1"/>
  <c r="L66" i="1"/>
  <c r="O66" i="1" s="1"/>
  <c r="L67" i="1"/>
  <c r="O67" i="1" s="1"/>
  <c r="L68" i="1"/>
  <c r="O68" i="1" s="1"/>
  <c r="L69" i="1"/>
  <c r="O69" i="1" s="1"/>
  <c r="L70" i="1"/>
  <c r="O70" i="1" s="1"/>
  <c r="L71" i="1"/>
  <c r="O71" i="1" s="1"/>
  <c r="L72" i="1"/>
  <c r="O72" i="1" s="1"/>
  <c r="L73" i="1"/>
  <c r="O73" i="1" s="1"/>
  <c r="L74" i="1"/>
  <c r="O74" i="1" s="1"/>
  <c r="L75" i="1"/>
  <c r="O75" i="1" s="1"/>
  <c r="L76" i="1"/>
  <c r="O76" i="1" s="1"/>
  <c r="L77" i="1"/>
  <c r="O77" i="1" s="1"/>
  <c r="L78" i="1"/>
  <c r="O78" i="1" s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L91" i="1"/>
  <c r="O91" i="1" s="1"/>
  <c r="L92" i="1"/>
  <c r="O92" i="1" s="1"/>
  <c r="L93" i="1"/>
  <c r="O93" i="1" s="1"/>
  <c r="L94" i="1"/>
  <c r="O94" i="1" s="1"/>
  <c r="L95" i="1"/>
  <c r="O95" i="1" s="1"/>
  <c r="L96" i="1"/>
  <c r="O96" i="1" s="1"/>
  <c r="L97" i="1"/>
  <c r="O97" i="1" s="1"/>
  <c r="L98" i="1"/>
  <c r="O98" i="1" s="1"/>
  <c r="L99" i="1"/>
  <c r="O99" i="1" s="1"/>
  <c r="L100" i="1"/>
  <c r="O100" i="1" s="1"/>
  <c r="L101" i="1"/>
  <c r="O101" i="1" s="1"/>
  <c r="L102" i="1"/>
  <c r="O102" i="1" s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O109" i="1" s="1"/>
  <c r="L110" i="1"/>
  <c r="O110" i="1" s="1"/>
  <c r="L111" i="1"/>
  <c r="O111" i="1" s="1"/>
  <c r="L112" i="1"/>
  <c r="O112" i="1" s="1"/>
  <c r="L113" i="1"/>
  <c r="O113" i="1" s="1"/>
  <c r="L114" i="1"/>
  <c r="O114" i="1" s="1"/>
  <c r="L115" i="1"/>
  <c r="O115" i="1" s="1"/>
  <c r="L116" i="1"/>
  <c r="O116" i="1" s="1"/>
  <c r="L117" i="1"/>
  <c r="O117" i="1" s="1"/>
  <c r="L118" i="1"/>
  <c r="O118" i="1" s="1"/>
  <c r="L119" i="1"/>
  <c r="O119" i="1" s="1"/>
  <c r="L120" i="1"/>
  <c r="O120" i="1" s="1"/>
  <c r="L121" i="1"/>
  <c r="O121" i="1" s="1"/>
  <c r="L122" i="1"/>
  <c r="O122" i="1" s="1"/>
  <c r="L123" i="1"/>
  <c r="O123" i="1" s="1"/>
  <c r="L124" i="1"/>
  <c r="O124" i="1" s="1"/>
  <c r="L125" i="1"/>
  <c r="O125" i="1" s="1"/>
  <c r="L126" i="1"/>
  <c r="O126" i="1" s="1"/>
  <c r="L127" i="1"/>
  <c r="O127" i="1" s="1"/>
  <c r="L128" i="1"/>
  <c r="O128" i="1" s="1"/>
  <c r="L129" i="1"/>
  <c r="O129" i="1" s="1"/>
  <c r="L130" i="1"/>
  <c r="O130" i="1" s="1"/>
  <c r="L131" i="1"/>
  <c r="O131" i="1" s="1"/>
  <c r="L132" i="1"/>
  <c r="O132" i="1" s="1"/>
  <c r="L133" i="1"/>
  <c r="O133" i="1" s="1"/>
  <c r="L134" i="1"/>
  <c r="O134" i="1" s="1"/>
  <c r="L135" i="1"/>
  <c r="O135" i="1" s="1"/>
  <c r="L136" i="1"/>
  <c r="O136" i="1" s="1"/>
  <c r="L137" i="1"/>
  <c r="O137" i="1" s="1"/>
  <c r="L138" i="1"/>
  <c r="O138" i="1" s="1"/>
  <c r="L139" i="1"/>
  <c r="O139" i="1" s="1"/>
  <c r="L140" i="1"/>
  <c r="O140" i="1" s="1"/>
  <c r="L141" i="1"/>
  <c r="O141" i="1" s="1"/>
  <c r="L142" i="1"/>
  <c r="O142" i="1" s="1"/>
  <c r="L143" i="1"/>
  <c r="O143" i="1" s="1"/>
  <c r="L144" i="1"/>
  <c r="O144" i="1" s="1"/>
  <c r="L145" i="1"/>
  <c r="O145" i="1" s="1"/>
  <c r="L146" i="1"/>
  <c r="O146" i="1" s="1"/>
  <c r="L147" i="1"/>
  <c r="O147" i="1" s="1"/>
  <c r="L148" i="1"/>
  <c r="O148" i="1" s="1"/>
  <c r="L2" i="1"/>
  <c r="O2" i="1" s="1"/>
  <c r="R23" i="1" l="1"/>
  <c r="S23" i="1" s="1"/>
  <c r="R31" i="1"/>
  <c r="S31" i="1" s="1"/>
  <c r="R39" i="1"/>
  <c r="S39" i="1" s="1"/>
  <c r="R47" i="1"/>
  <c r="S47" i="1" s="1"/>
  <c r="R55" i="1"/>
  <c r="S55" i="1" s="1"/>
  <c r="R63" i="1"/>
  <c r="S63" i="1" s="1"/>
  <c r="R71" i="1"/>
  <c r="S71" i="1" s="1"/>
  <c r="R79" i="1"/>
  <c r="S79" i="1" s="1"/>
  <c r="R87" i="1"/>
  <c r="S87" i="1" s="1"/>
  <c r="R95" i="1"/>
  <c r="S95" i="1" s="1"/>
  <c r="R103" i="1"/>
  <c r="S103" i="1" s="1"/>
  <c r="R111" i="1"/>
  <c r="S111" i="1" s="1"/>
  <c r="R119" i="1"/>
  <c r="S119" i="1" s="1"/>
  <c r="R127" i="1"/>
  <c r="S127" i="1" s="1"/>
  <c r="R135" i="1"/>
  <c r="S135" i="1" s="1"/>
  <c r="R143" i="1"/>
  <c r="S143" i="1" s="1"/>
  <c r="R2" i="1"/>
  <c r="S2" i="1" s="1"/>
  <c r="R10" i="1"/>
  <c r="S10" i="1" s="1"/>
  <c r="R18" i="1"/>
  <c r="S18" i="1" s="1"/>
  <c r="R26" i="1"/>
  <c r="S26" i="1" s="1"/>
  <c r="R34" i="1"/>
  <c r="S34" i="1" s="1"/>
  <c r="R42" i="1"/>
  <c r="S42" i="1" s="1"/>
  <c r="R50" i="1"/>
  <c r="S50" i="1" s="1"/>
  <c r="R58" i="1"/>
  <c r="S58" i="1" s="1"/>
  <c r="R66" i="1"/>
  <c r="S66" i="1" s="1"/>
  <c r="R74" i="1"/>
  <c r="S74" i="1" s="1"/>
  <c r="R82" i="1"/>
  <c r="S82" i="1" s="1"/>
  <c r="R90" i="1"/>
  <c r="S90" i="1" s="1"/>
  <c r="R98" i="1"/>
  <c r="S98" i="1" s="1"/>
  <c r="R106" i="1"/>
  <c r="S106" i="1" s="1"/>
  <c r="R114" i="1"/>
  <c r="S114" i="1" s="1"/>
  <c r="R122" i="1"/>
  <c r="S122" i="1" s="1"/>
  <c r="R130" i="1"/>
  <c r="S130" i="1" s="1"/>
  <c r="R138" i="1"/>
  <c r="S138" i="1" s="1"/>
  <c r="R146" i="1"/>
  <c r="S146" i="1" s="1"/>
  <c r="X130" i="1"/>
  <c r="Y130" i="1" s="1"/>
  <c r="X66" i="1"/>
  <c r="Y66" i="1" s="1"/>
  <c r="R4" i="1"/>
  <c r="S4" i="1" s="1"/>
  <c r="R12" i="1"/>
  <c r="S12" i="1" s="1"/>
  <c r="R20" i="1"/>
  <c r="S20" i="1" s="1"/>
  <c r="R28" i="1"/>
  <c r="S28" i="1" s="1"/>
  <c r="R36" i="1"/>
  <c r="S36" i="1" s="1"/>
  <c r="R44" i="1"/>
  <c r="S44" i="1" s="1"/>
  <c r="R52" i="1"/>
  <c r="S52" i="1" s="1"/>
  <c r="R60" i="1"/>
  <c r="S60" i="1" s="1"/>
  <c r="R68" i="1"/>
  <c r="S68" i="1" s="1"/>
  <c r="R76" i="1"/>
  <c r="S76" i="1" s="1"/>
  <c r="R84" i="1"/>
  <c r="S84" i="1" s="1"/>
  <c r="R92" i="1"/>
  <c r="S92" i="1" s="1"/>
  <c r="R100" i="1"/>
  <c r="S100" i="1" s="1"/>
  <c r="R108" i="1"/>
  <c r="S108" i="1" s="1"/>
  <c r="R116" i="1"/>
  <c r="S116" i="1" s="1"/>
  <c r="R124" i="1"/>
  <c r="S124" i="1" s="1"/>
  <c r="R132" i="1"/>
  <c r="S132" i="1" s="1"/>
  <c r="R140" i="1"/>
  <c r="S140" i="1" s="1"/>
  <c r="R148" i="1"/>
  <c r="S148" i="1" s="1"/>
  <c r="X122" i="1"/>
  <c r="Y122" i="1" s="1"/>
  <c r="X58" i="1"/>
  <c r="Y58" i="1" s="1"/>
  <c r="R6" i="1"/>
  <c r="S6" i="1" s="1"/>
  <c r="R14" i="1"/>
  <c r="S14" i="1" s="1"/>
  <c r="R22" i="1"/>
  <c r="S22" i="1" s="1"/>
  <c r="R30" i="1"/>
  <c r="S30" i="1" s="1"/>
  <c r="R38" i="1"/>
  <c r="S38" i="1" s="1"/>
  <c r="R46" i="1"/>
  <c r="S46" i="1" s="1"/>
  <c r="R54" i="1"/>
  <c r="S54" i="1" s="1"/>
  <c r="R62" i="1"/>
  <c r="S62" i="1" s="1"/>
  <c r="R70" i="1"/>
  <c r="S70" i="1" s="1"/>
  <c r="R78" i="1"/>
  <c r="S78" i="1" s="1"/>
  <c r="R86" i="1"/>
  <c r="S86" i="1" s="1"/>
  <c r="R94" i="1"/>
  <c r="S94" i="1" s="1"/>
  <c r="R102" i="1"/>
  <c r="S102" i="1" s="1"/>
  <c r="R110" i="1"/>
  <c r="S110" i="1" s="1"/>
  <c r="R118" i="1"/>
  <c r="S118" i="1" s="1"/>
  <c r="R126" i="1"/>
  <c r="S126" i="1" s="1"/>
  <c r="R134" i="1"/>
  <c r="S134" i="1" s="1"/>
  <c r="R142" i="1"/>
  <c r="S142" i="1" s="1"/>
  <c r="X114" i="1"/>
  <c r="Y114" i="1" s="1"/>
  <c r="X50" i="1"/>
  <c r="Y50" i="1" s="1"/>
  <c r="X106" i="1"/>
  <c r="Y106" i="1" s="1"/>
  <c r="X42" i="1"/>
  <c r="Y42" i="1" s="1"/>
  <c r="X98" i="1"/>
  <c r="Y98" i="1" s="1"/>
  <c r="X34" i="1"/>
  <c r="Y34" i="1" s="1"/>
  <c r="X90" i="1"/>
  <c r="Y90" i="1" s="1"/>
  <c r="X26" i="1"/>
  <c r="Y26" i="1" s="1"/>
  <c r="X146" i="1"/>
  <c r="Y146" i="1" s="1"/>
  <c r="X82" i="1"/>
  <c r="Y82" i="1" s="1"/>
  <c r="X18" i="1"/>
  <c r="Y18" i="1" s="1"/>
  <c r="X138" i="1"/>
  <c r="Y138" i="1" s="1"/>
  <c r="X74" i="1"/>
  <c r="Y74" i="1" s="1"/>
  <c r="X10" i="1"/>
  <c r="Y10" i="1" s="1"/>
  <c r="X145" i="1"/>
  <c r="Y145" i="1" s="1"/>
  <c r="X137" i="1"/>
  <c r="Y137" i="1" s="1"/>
  <c r="X129" i="1"/>
  <c r="Y129" i="1" s="1"/>
  <c r="X121" i="1"/>
  <c r="Y121" i="1" s="1"/>
  <c r="X113" i="1"/>
  <c r="Y113" i="1" s="1"/>
  <c r="X105" i="1"/>
  <c r="Y105" i="1" s="1"/>
  <c r="X97" i="1"/>
  <c r="Y97" i="1" s="1"/>
  <c r="X89" i="1"/>
  <c r="Y89" i="1" s="1"/>
  <c r="X81" i="1"/>
  <c r="Y81" i="1" s="1"/>
  <c r="X73" i="1"/>
  <c r="Y73" i="1" s="1"/>
  <c r="X65" i="1"/>
  <c r="Y65" i="1" s="1"/>
  <c r="X57" i="1"/>
  <c r="Y57" i="1" s="1"/>
  <c r="X49" i="1"/>
  <c r="Y49" i="1" s="1"/>
  <c r="X41" i="1"/>
  <c r="Y41" i="1" s="1"/>
  <c r="X33" i="1"/>
  <c r="Y33" i="1" s="1"/>
  <c r="X25" i="1"/>
  <c r="Y25" i="1" s="1"/>
  <c r="X17" i="1"/>
  <c r="Y17" i="1" s="1"/>
  <c r="X9" i="1"/>
  <c r="Y9" i="1" s="1"/>
  <c r="X144" i="1"/>
  <c r="Y144" i="1" s="1"/>
  <c r="X136" i="1"/>
  <c r="Y136" i="1" s="1"/>
  <c r="X128" i="1"/>
  <c r="Y128" i="1" s="1"/>
  <c r="X120" i="1"/>
  <c r="Y120" i="1" s="1"/>
  <c r="X112" i="1"/>
  <c r="Y112" i="1" s="1"/>
  <c r="X104" i="1"/>
  <c r="Y104" i="1" s="1"/>
  <c r="X96" i="1"/>
  <c r="Y96" i="1" s="1"/>
  <c r="X88" i="1"/>
  <c r="Y88" i="1" s="1"/>
  <c r="X80" i="1"/>
  <c r="Y80" i="1" s="1"/>
  <c r="X72" i="1"/>
  <c r="Y72" i="1" s="1"/>
  <c r="X64" i="1"/>
  <c r="Y64" i="1" s="1"/>
  <c r="X56" i="1"/>
  <c r="Y56" i="1" s="1"/>
  <c r="X48" i="1"/>
  <c r="Y48" i="1" s="1"/>
  <c r="X40" i="1"/>
  <c r="Y40" i="1" s="1"/>
  <c r="X32" i="1"/>
  <c r="Y32" i="1" s="1"/>
  <c r="X24" i="1"/>
  <c r="Y24" i="1" s="1"/>
  <c r="X16" i="1"/>
  <c r="Y16" i="1" s="1"/>
  <c r="X8" i="1"/>
  <c r="Y8" i="1" s="1"/>
  <c r="X143" i="1"/>
  <c r="Y143" i="1" s="1"/>
  <c r="X135" i="1"/>
  <c r="Y135" i="1" s="1"/>
  <c r="X127" i="1"/>
  <c r="Y127" i="1" s="1"/>
  <c r="X119" i="1"/>
  <c r="Y119" i="1" s="1"/>
  <c r="X111" i="1"/>
  <c r="Y111" i="1" s="1"/>
  <c r="X103" i="1"/>
  <c r="Y103" i="1" s="1"/>
  <c r="X95" i="1"/>
  <c r="Y95" i="1" s="1"/>
  <c r="X87" i="1"/>
  <c r="Y87" i="1" s="1"/>
  <c r="X79" i="1"/>
  <c r="Y79" i="1" s="1"/>
  <c r="X71" i="1"/>
  <c r="Y71" i="1" s="1"/>
  <c r="X63" i="1"/>
  <c r="Y63" i="1" s="1"/>
  <c r="X55" i="1"/>
  <c r="Y55" i="1" s="1"/>
  <c r="X47" i="1"/>
  <c r="Y47" i="1" s="1"/>
  <c r="X39" i="1"/>
  <c r="Y39" i="1" s="1"/>
  <c r="X31" i="1"/>
  <c r="Y31" i="1" s="1"/>
  <c r="X23" i="1"/>
  <c r="Y23" i="1" s="1"/>
  <c r="X15" i="1"/>
  <c r="Y15" i="1" s="1"/>
  <c r="X7" i="1"/>
  <c r="Y7" i="1" s="1"/>
  <c r="R3" i="1"/>
  <c r="R11" i="1"/>
  <c r="S11" i="1" s="1"/>
  <c r="R19" i="1"/>
  <c r="S19" i="1" s="1"/>
  <c r="R27" i="1"/>
  <c r="S27" i="1" s="1"/>
  <c r="R35" i="1"/>
  <c r="S35" i="1" s="1"/>
  <c r="R43" i="1"/>
  <c r="S43" i="1" s="1"/>
  <c r="R51" i="1"/>
  <c r="S51" i="1" s="1"/>
  <c r="R59" i="1"/>
  <c r="S59" i="1" s="1"/>
  <c r="R67" i="1"/>
  <c r="S67" i="1" s="1"/>
  <c r="R75" i="1"/>
  <c r="S75" i="1" s="1"/>
  <c r="R83" i="1"/>
  <c r="S83" i="1" s="1"/>
  <c r="R91" i="1"/>
  <c r="S91" i="1" s="1"/>
  <c r="R99" i="1"/>
  <c r="S99" i="1" s="1"/>
  <c r="R107" i="1"/>
  <c r="S107" i="1" s="1"/>
  <c r="R115" i="1"/>
  <c r="S115" i="1" s="1"/>
  <c r="R123" i="1"/>
  <c r="S123" i="1" s="1"/>
  <c r="R131" i="1"/>
  <c r="S131" i="1" s="1"/>
  <c r="R139" i="1"/>
  <c r="S139" i="1" s="1"/>
  <c r="R147" i="1"/>
  <c r="S147" i="1" s="1"/>
  <c r="X142" i="1"/>
  <c r="Y142" i="1" s="1"/>
  <c r="X134" i="1"/>
  <c r="Y134" i="1" s="1"/>
  <c r="X126" i="1"/>
  <c r="Y126" i="1" s="1"/>
  <c r="X118" i="1"/>
  <c r="Y118" i="1" s="1"/>
  <c r="X110" i="1"/>
  <c r="Y110" i="1" s="1"/>
  <c r="X102" i="1"/>
  <c r="Y102" i="1" s="1"/>
  <c r="X94" i="1"/>
  <c r="Y94" i="1" s="1"/>
  <c r="X86" i="1"/>
  <c r="Y86" i="1" s="1"/>
  <c r="X78" i="1"/>
  <c r="Y78" i="1" s="1"/>
  <c r="X70" i="1"/>
  <c r="Y70" i="1" s="1"/>
  <c r="X62" i="1"/>
  <c r="Y62" i="1" s="1"/>
  <c r="X54" i="1"/>
  <c r="Y54" i="1" s="1"/>
  <c r="X46" i="1"/>
  <c r="Y46" i="1" s="1"/>
  <c r="X38" i="1"/>
  <c r="Y38" i="1" s="1"/>
  <c r="X30" i="1"/>
  <c r="Y30" i="1" s="1"/>
  <c r="X22" i="1"/>
  <c r="Y22" i="1" s="1"/>
  <c r="X14" i="1"/>
  <c r="Y14" i="1" s="1"/>
  <c r="X6" i="1"/>
  <c r="Y6" i="1" s="1"/>
  <c r="X2" i="1"/>
  <c r="Y2" i="1" s="1"/>
  <c r="X141" i="1"/>
  <c r="Y141" i="1" s="1"/>
  <c r="X133" i="1"/>
  <c r="Y133" i="1" s="1"/>
  <c r="X125" i="1"/>
  <c r="Y125" i="1" s="1"/>
  <c r="X117" i="1"/>
  <c r="Y117" i="1" s="1"/>
  <c r="X109" i="1"/>
  <c r="Y109" i="1" s="1"/>
  <c r="X101" i="1"/>
  <c r="Y101" i="1" s="1"/>
  <c r="X93" i="1"/>
  <c r="Y93" i="1" s="1"/>
  <c r="X85" i="1"/>
  <c r="Y85" i="1" s="1"/>
  <c r="X77" i="1"/>
  <c r="Y77" i="1" s="1"/>
  <c r="X69" i="1"/>
  <c r="Y69" i="1" s="1"/>
  <c r="X61" i="1"/>
  <c r="Y61" i="1" s="1"/>
  <c r="X53" i="1"/>
  <c r="Y53" i="1" s="1"/>
  <c r="X45" i="1"/>
  <c r="Y45" i="1" s="1"/>
  <c r="X37" i="1"/>
  <c r="Y37" i="1" s="1"/>
  <c r="X29" i="1"/>
  <c r="Y29" i="1" s="1"/>
  <c r="X21" i="1"/>
  <c r="Y21" i="1" s="1"/>
  <c r="X13" i="1"/>
  <c r="Y13" i="1" s="1"/>
  <c r="X5" i="1"/>
  <c r="Y5" i="1" s="1"/>
  <c r="X148" i="1"/>
  <c r="Y148" i="1" s="1"/>
  <c r="X140" i="1"/>
  <c r="Y140" i="1" s="1"/>
  <c r="X132" i="1"/>
  <c r="Y132" i="1" s="1"/>
  <c r="X124" i="1"/>
  <c r="Y124" i="1" s="1"/>
  <c r="X116" i="1"/>
  <c r="Y116" i="1" s="1"/>
  <c r="X108" i="1"/>
  <c r="Y108" i="1" s="1"/>
  <c r="X100" i="1"/>
  <c r="Y100" i="1" s="1"/>
  <c r="X92" i="1"/>
  <c r="Y92" i="1" s="1"/>
  <c r="X84" i="1"/>
  <c r="Y84" i="1" s="1"/>
  <c r="X76" i="1"/>
  <c r="Y76" i="1" s="1"/>
  <c r="X68" i="1"/>
  <c r="Y68" i="1" s="1"/>
  <c r="X60" i="1"/>
  <c r="Y60" i="1" s="1"/>
  <c r="X52" i="1"/>
  <c r="Y52" i="1" s="1"/>
  <c r="X44" i="1"/>
  <c r="Y44" i="1" s="1"/>
  <c r="X36" i="1"/>
  <c r="Y36" i="1" s="1"/>
  <c r="X28" i="1"/>
  <c r="Y28" i="1" s="1"/>
  <c r="X20" i="1"/>
  <c r="Y20" i="1" s="1"/>
  <c r="X12" i="1"/>
  <c r="Y12" i="1" s="1"/>
  <c r="X4" i="1"/>
  <c r="Y4" i="1" s="1"/>
  <c r="X147" i="1"/>
  <c r="Y147" i="1" s="1"/>
  <c r="X139" i="1"/>
  <c r="Y139" i="1" s="1"/>
  <c r="X131" i="1"/>
  <c r="Y131" i="1" s="1"/>
  <c r="X123" i="1"/>
  <c r="Y123" i="1" s="1"/>
  <c r="X115" i="1"/>
  <c r="Y115" i="1" s="1"/>
  <c r="X107" i="1"/>
  <c r="Y107" i="1" s="1"/>
  <c r="X99" i="1"/>
  <c r="Y99" i="1" s="1"/>
  <c r="X91" i="1"/>
  <c r="Y91" i="1" s="1"/>
  <c r="X83" i="1"/>
  <c r="Y83" i="1" s="1"/>
  <c r="X75" i="1"/>
  <c r="Y75" i="1" s="1"/>
  <c r="X67" i="1"/>
  <c r="Y67" i="1" s="1"/>
  <c r="X59" i="1"/>
  <c r="Y59" i="1" s="1"/>
  <c r="X51" i="1"/>
  <c r="Y51" i="1" s="1"/>
  <c r="X43" i="1"/>
  <c r="Y43" i="1" s="1"/>
  <c r="X35" i="1"/>
  <c r="Y35" i="1" s="1"/>
  <c r="X27" i="1"/>
  <c r="Y27" i="1" s="1"/>
  <c r="X19" i="1"/>
  <c r="Y19" i="1" s="1"/>
  <c r="X11" i="1"/>
  <c r="Y11" i="1" s="1"/>
  <c r="X3" i="1"/>
  <c r="Y3" i="1" s="1"/>
</calcChain>
</file>

<file path=xl/sharedStrings.xml><?xml version="1.0" encoding="utf-8"?>
<sst xmlns="http://schemas.openxmlformats.org/spreadsheetml/2006/main" count="1444" uniqueCount="389">
  <si>
    <t>SUPPLIER</t>
  </si>
  <si>
    <t>PURCHASE ORDER</t>
  </si>
  <si>
    <t>DEL TERMS</t>
  </si>
  <si>
    <t>CONTRACT QTY</t>
  </si>
  <si>
    <t>INV NUMBER</t>
  </si>
  <si>
    <t>INV DATE</t>
  </si>
  <si>
    <t>GRPO DATE</t>
  </si>
  <si>
    <t>ITEM</t>
  </si>
  <si>
    <t>LOAD QTY (MTS)</t>
  </si>
  <si>
    <t>INV RATE</t>
  </si>
  <si>
    <t>BASIC AMOUNT</t>
  </si>
  <si>
    <t>UNLOAD QTY (MTS)</t>
  </si>
  <si>
    <t>UNLOAD QTY (LTR)</t>
  </si>
  <si>
    <t>RATE IN SAP UNLOADING</t>
  </si>
  <si>
    <t>DEDUCT AMOUNT</t>
  </si>
  <si>
    <t>FREIGHT RATE (MTS)</t>
  </si>
  <si>
    <t>FREIGHT AMT</t>
  </si>
  <si>
    <t>BROKERAGE RATE (MTS)</t>
  </si>
  <si>
    <t>BROKERAGE AMT</t>
  </si>
  <si>
    <t>COST in KGS</t>
  </si>
  <si>
    <t>COST in LTR</t>
  </si>
  <si>
    <t>TRANSPORTER NAME</t>
  </si>
  <si>
    <t>VEHICLE NUMBER</t>
  </si>
  <si>
    <t>BILTY NUMBER</t>
  </si>
  <si>
    <t>GRPO</t>
  </si>
  <si>
    <t>BILTY CHARGES</t>
  </si>
  <si>
    <t>RECEIVED</t>
  </si>
  <si>
    <t>AWL AGRI BUSINESS LIMITED</t>
  </si>
  <si>
    <t>FOR</t>
  </si>
  <si>
    <t>29.03.26</t>
  </si>
  <si>
    <t>01.04.26</t>
  </si>
  <si>
    <t>REFINED RICE BRAN OIL</t>
  </si>
  <si>
    <t>1,47,000</t>
  </si>
  <si>
    <t>REKS TANKER</t>
  </si>
  <si>
    <t>RJ14GH9967</t>
  </si>
  <si>
    <t>VAISHNODEVI AGRO RESOURCES PRIVATE LIMITED</t>
  </si>
  <si>
    <t>EXW</t>
  </si>
  <si>
    <t>CANOLA REFINED</t>
  </si>
  <si>
    <t>R.K. TANKER SERVICE</t>
  </si>
  <si>
    <t>RJ47GA1756</t>
  </si>
  <si>
    <t>RJ47GA1956</t>
  </si>
  <si>
    <t>RJ47GA7521</t>
  </si>
  <si>
    <t>RJ47GA7523</t>
  </si>
  <si>
    <t>RJ47GA7520</t>
  </si>
  <si>
    <t>RJ47GB0492</t>
  </si>
  <si>
    <t>09.04.26</t>
  </si>
  <si>
    <t>RJ47GA8216</t>
  </si>
  <si>
    <t>10.04.26</t>
  </si>
  <si>
    <t>RJ47GA8215</t>
  </si>
  <si>
    <t>RJ47GA6771</t>
  </si>
  <si>
    <t>13.04.26</t>
  </si>
  <si>
    <t>KACCHI GHANI MUSTARD OIL</t>
  </si>
  <si>
    <t>1,38,000</t>
  </si>
  <si>
    <t>CHETNA ROADLINES</t>
  </si>
  <si>
    <t>HR63D4208</t>
  </si>
  <si>
    <t>BD EDIBLE OIL PVT LTD</t>
  </si>
  <si>
    <t>BD/26-27/97</t>
  </si>
  <si>
    <t>14.04.26</t>
  </si>
  <si>
    <t>SOYABEAN REFINED LOOSE OIL</t>
  </si>
  <si>
    <t>1,54,300</t>
  </si>
  <si>
    <t>RJ47GA7911</t>
  </si>
  <si>
    <t>DHANLAXMI EDIBLES PRIVATE LIMITED</t>
  </si>
  <si>
    <t>GT/92</t>
  </si>
  <si>
    <t>17.04.26</t>
  </si>
  <si>
    <t>GROUNDNUT OIL</t>
  </si>
  <si>
    <t>1,70,000</t>
  </si>
  <si>
    <t>RJ47GA6770</t>
  </si>
  <si>
    <t>BD/26-27/103</t>
  </si>
  <si>
    <t>RJ47GB2009</t>
  </si>
  <si>
    <t>18.04.26</t>
  </si>
  <si>
    <t>GJ39TA8718</t>
  </si>
  <si>
    <t>SAMSON GLOBAL PVT LTD</t>
  </si>
  <si>
    <t>2000 KG</t>
  </si>
  <si>
    <t>27/GB/2627</t>
  </si>
  <si>
    <t>11.04.26</t>
  </si>
  <si>
    <t>20.04.26</t>
  </si>
  <si>
    <t>COCONUT OIL</t>
  </si>
  <si>
    <t>2,53,000</t>
  </si>
  <si>
    <t>Instakart Services PL</t>
  </si>
  <si>
    <t>TN39DE9213</t>
  </si>
  <si>
    <t>SVK-6081</t>
  </si>
  <si>
    <t>RJ32GD2788</t>
  </si>
  <si>
    <t>BD/26-27/130</t>
  </si>
  <si>
    <t>15.04.26</t>
  </si>
  <si>
    <t>RJ14GQ1756</t>
  </si>
  <si>
    <t>VAISHNODEVI REFOILS &amp; SOLVEX PRIVATE LMITED</t>
  </si>
  <si>
    <t>VRSPL/2627/0099</t>
  </si>
  <si>
    <t>16.04.26</t>
  </si>
  <si>
    <t>21.04.26</t>
  </si>
  <si>
    <t>MUSTARD OIL</t>
  </si>
  <si>
    <t>1,40,500</t>
  </si>
  <si>
    <t>RJ47GA3056</t>
  </si>
  <si>
    <t>RJ47GA7522</t>
  </si>
  <si>
    <t>24.04.26</t>
  </si>
  <si>
    <t>Apex Coco and Solar Energy limited</t>
  </si>
  <si>
    <t>APEX/FS/27/0035</t>
  </si>
  <si>
    <t>3,70,000</t>
  </si>
  <si>
    <t>PICK&amp;SHIP LOGISTICS PVT</t>
  </si>
  <si>
    <t>TN78V4083</t>
  </si>
  <si>
    <t>AVA26159</t>
  </si>
  <si>
    <t>25.04.26</t>
  </si>
  <si>
    <t>VARPL/2627/00438</t>
  </si>
  <si>
    <t>23.04.26</t>
  </si>
  <si>
    <t>28.04.26</t>
  </si>
  <si>
    <t>1,45,300</t>
  </si>
  <si>
    <t>29.04.26</t>
  </si>
  <si>
    <t>SOYABEAN REFINED OIL</t>
  </si>
  <si>
    <t>1,56,500</t>
  </si>
  <si>
    <t>HEM TRANSPORT</t>
  </si>
  <si>
    <t>GJ39TB0929</t>
  </si>
  <si>
    <t>GJ12BX5999</t>
  </si>
  <si>
    <t>02.05.26</t>
  </si>
  <si>
    <t>GJ12BX7799</t>
  </si>
  <si>
    <t>02.25.26</t>
  </si>
  <si>
    <t>GJ12BV9556</t>
  </si>
  <si>
    <t>26.04.26</t>
  </si>
  <si>
    <t>1,48,000</t>
  </si>
  <si>
    <t>GJ12BX3999</t>
  </si>
  <si>
    <t>4.05.26</t>
  </si>
  <si>
    <t>RJ47GA2009</t>
  </si>
  <si>
    <t>GT/227</t>
  </si>
  <si>
    <t>1,65,000</t>
  </si>
  <si>
    <t>VARPL/2627/00463</t>
  </si>
  <si>
    <t>06.05.26</t>
  </si>
  <si>
    <t>GT/275</t>
  </si>
  <si>
    <t>3.05.26</t>
  </si>
  <si>
    <t>7.05.26</t>
  </si>
  <si>
    <t>1,60,000</t>
  </si>
  <si>
    <t>VARPL/2627/00546</t>
  </si>
  <si>
    <t>9.05.26</t>
  </si>
  <si>
    <t>VARPL/2627/00626</t>
  </si>
  <si>
    <t>2.05.26</t>
  </si>
  <si>
    <t>1,45,000</t>
  </si>
  <si>
    <t>RJ47GB3356</t>
  </si>
  <si>
    <t>VARPL/2627/00615</t>
  </si>
  <si>
    <t>11.05.26</t>
  </si>
  <si>
    <t>13.05.26</t>
  </si>
  <si>
    <t>09.05.26</t>
  </si>
  <si>
    <t>14.05.26</t>
  </si>
  <si>
    <t>1,49,500</t>
  </si>
  <si>
    <t>GJ12BV9221</t>
  </si>
  <si>
    <t>15.05.26</t>
  </si>
  <si>
    <t>RJ47GA8856</t>
  </si>
  <si>
    <t>12.05.26</t>
  </si>
  <si>
    <t>16.05.26</t>
  </si>
  <si>
    <t>GJ12BX2681</t>
  </si>
  <si>
    <t>19.05.26</t>
  </si>
  <si>
    <t>GJ12BX7999</t>
  </si>
  <si>
    <t>GT/337</t>
  </si>
  <si>
    <t>1,58,000</t>
  </si>
  <si>
    <t>VRSPL/2627/0214</t>
  </si>
  <si>
    <t>20.05.26</t>
  </si>
  <si>
    <t>RJ47GB1956</t>
  </si>
  <si>
    <t>18.05.26</t>
  </si>
  <si>
    <t>GJ12BX7200</t>
  </si>
  <si>
    <t>ARORA AGRI BUSINESS VENTURES</t>
  </si>
  <si>
    <t>AABV/26-27/20</t>
  </si>
  <si>
    <t>21.05.26</t>
  </si>
  <si>
    <t>1,47,500</t>
  </si>
  <si>
    <t>GJ12BV9621</t>
  </si>
  <si>
    <t>22.05.26</t>
  </si>
  <si>
    <t>Jaipur bulk Carrier</t>
  </si>
  <si>
    <t>RJ17GA5881</t>
  </si>
  <si>
    <t>VARPL/2627/00965</t>
  </si>
  <si>
    <t>23.05.26</t>
  </si>
  <si>
    <t>1,43,000</t>
  </si>
  <si>
    <t>24.05.26</t>
  </si>
  <si>
    <t>GJ39TA4343</t>
  </si>
  <si>
    <t>RJ47GA8217</t>
  </si>
  <si>
    <t>25.05.26</t>
  </si>
  <si>
    <t>GT/450</t>
  </si>
  <si>
    <t>26.05.26</t>
  </si>
  <si>
    <t>1,61,500</t>
  </si>
  <si>
    <t>GJ12BX6999</t>
  </si>
  <si>
    <t>VRSPL/2627/0295</t>
  </si>
  <si>
    <t>24..05.26</t>
  </si>
  <si>
    <t>AABV/26-27/21</t>
  </si>
  <si>
    <t>28.05.26</t>
  </si>
  <si>
    <t>GJ12BX1999</t>
  </si>
  <si>
    <t>VARPL/2627/00973</t>
  </si>
  <si>
    <t>27.05.26</t>
  </si>
  <si>
    <t>GJ12BX7002</t>
  </si>
  <si>
    <t>AABV/26-27/26</t>
  </si>
  <si>
    <t>VARPL/2627/01054</t>
  </si>
  <si>
    <t>RJ47GB3056</t>
  </si>
  <si>
    <t>29.05.26</t>
  </si>
  <si>
    <t>31.05.26</t>
  </si>
  <si>
    <t>30.05.26</t>
  </si>
  <si>
    <t>GJ12BX2999</t>
  </si>
  <si>
    <t>VARPL/2627/01051</t>
  </si>
  <si>
    <t>VARPL/2627/01011</t>
  </si>
  <si>
    <t>1,49,000</t>
  </si>
  <si>
    <t>JIVO AGRI BUSINESS</t>
  </si>
  <si>
    <t>JWPL/TN/1</t>
  </si>
  <si>
    <t>Coconut Raw Meterial for Oil</t>
  </si>
  <si>
    <t>HR69E9959</t>
  </si>
  <si>
    <t>VEEKAY ENTERPRISES</t>
  </si>
  <si>
    <t>VARPL/2627/01021</t>
  </si>
  <si>
    <t>01.06.26</t>
  </si>
  <si>
    <t>22.06.26</t>
  </si>
  <si>
    <t>GT/482</t>
  </si>
  <si>
    <t>02.06.26</t>
  </si>
  <si>
    <t>1,59,000</t>
  </si>
  <si>
    <t>RJ47GB0956</t>
  </si>
  <si>
    <t>03.06.26</t>
  </si>
  <si>
    <t>GJ39TA3342</t>
  </si>
  <si>
    <t>04.06.26</t>
  </si>
  <si>
    <t>HR69E4126</t>
  </si>
  <si>
    <t>05.06.26</t>
  </si>
  <si>
    <t>1,51,000</t>
  </si>
  <si>
    <t>SHREE BHOLENATH CARRIERS</t>
  </si>
  <si>
    <t>GJ12BV5810</t>
  </si>
  <si>
    <t>AABV/26-27/30</t>
  </si>
  <si>
    <t>GJ12BX6660</t>
  </si>
  <si>
    <t>GT/523</t>
  </si>
  <si>
    <t>06.06.26</t>
  </si>
  <si>
    <t>1,60,500</t>
  </si>
  <si>
    <t>DIL EXIM COMMODITIES PRIVATE LIMITED</t>
  </si>
  <si>
    <t>GT/2106</t>
  </si>
  <si>
    <t>1,53,000</t>
  </si>
  <si>
    <t>600 KG</t>
  </si>
  <si>
    <t>09.06.26</t>
  </si>
  <si>
    <t>AVS BULK LOGISTICS</t>
  </si>
  <si>
    <t>GJ12BW3728</t>
  </si>
  <si>
    <t>10.06.26</t>
  </si>
  <si>
    <t>GJ39TB8129</t>
  </si>
  <si>
    <t>GT/603</t>
  </si>
  <si>
    <t>07.06.26</t>
  </si>
  <si>
    <t>11.06.26</t>
  </si>
  <si>
    <t>1,61,000</t>
  </si>
  <si>
    <t>AABV/26-27/32</t>
  </si>
  <si>
    <t>4.06.26</t>
  </si>
  <si>
    <t>HR63D6516</t>
  </si>
  <si>
    <t>AABV/26-27/34</t>
  </si>
  <si>
    <t>5.06.26</t>
  </si>
  <si>
    <t>1,52,500</t>
  </si>
  <si>
    <t>GJ39TB6329</t>
  </si>
  <si>
    <t>GT/2585</t>
  </si>
  <si>
    <t>12.06.26</t>
  </si>
  <si>
    <t>08.06.26</t>
  </si>
  <si>
    <t>AABV/26-27/36</t>
  </si>
  <si>
    <t>13.06.26</t>
  </si>
  <si>
    <t>M/S BHUMIKA ROADLINES PRIVATE LIMITED</t>
  </si>
  <si>
    <t>GJ12BV1184</t>
  </si>
  <si>
    <t>AABV/26-27/37</t>
  </si>
  <si>
    <t>15.06.26</t>
  </si>
  <si>
    <t>GT/2858</t>
  </si>
  <si>
    <t>VARPL/2627/01354</t>
  </si>
  <si>
    <t>VARPL/2627/01396</t>
  </si>
  <si>
    <t>16.06.26</t>
  </si>
  <si>
    <t>5000 KG</t>
  </si>
  <si>
    <t>APEX/FS/27/0227</t>
  </si>
  <si>
    <t>3,50,000</t>
  </si>
  <si>
    <t>INSTAKART SERVICES PVL</t>
  </si>
  <si>
    <t>TN29AE6521</t>
  </si>
  <si>
    <t>17.06.26</t>
  </si>
  <si>
    <t>AABV/26-27/38</t>
  </si>
  <si>
    <t>14.06.26</t>
  </si>
  <si>
    <t>18.06.26</t>
  </si>
  <si>
    <t>GJ12BX8899</t>
  </si>
  <si>
    <t>GT/3020</t>
  </si>
  <si>
    <t>VK/2026-27/66</t>
  </si>
  <si>
    <t>POMACE OLIVE OIL</t>
  </si>
  <si>
    <t>2,30,000</t>
  </si>
  <si>
    <t>HR63D0352</t>
  </si>
  <si>
    <t>GT/661</t>
  </si>
  <si>
    <t>1,62,000</t>
  </si>
  <si>
    <t>GT/3069</t>
  </si>
  <si>
    <t>19.06.26</t>
  </si>
  <si>
    <t>AABV/26-27/39</t>
  </si>
  <si>
    <t>20.06.26</t>
  </si>
  <si>
    <t>HR63D1997</t>
  </si>
  <si>
    <t>VARPL/2627/01461</t>
  </si>
  <si>
    <t>GT/3068</t>
  </si>
  <si>
    <t>VARPL/2627/01476</t>
  </si>
  <si>
    <t>GT/3057</t>
  </si>
  <si>
    <t>VARPL/2627/01501</t>
  </si>
  <si>
    <t>23.06.26</t>
  </si>
  <si>
    <t>RJ47GA8221</t>
  </si>
  <si>
    <t>AABV/26-27/91</t>
  </si>
  <si>
    <t>HR63D4947</t>
  </si>
  <si>
    <t>24.06.26</t>
  </si>
  <si>
    <t>GJ39T5107</t>
  </si>
  <si>
    <t>21.06.26</t>
  </si>
  <si>
    <t>HR63D4964</t>
  </si>
  <si>
    <t>VARPL/2627/01512</t>
  </si>
  <si>
    <t>25.06.26</t>
  </si>
  <si>
    <t>AABV/26-27/92</t>
  </si>
  <si>
    <t>VARPL/2627/01565</t>
  </si>
  <si>
    <t>27.06.26</t>
  </si>
  <si>
    <t>GJ12BV9421</t>
  </si>
  <si>
    <t>RB OIL MILLS</t>
  </si>
  <si>
    <t>INV/26-27/00011</t>
  </si>
  <si>
    <t>21.06.2026</t>
  </si>
  <si>
    <t>2,00,000</t>
  </si>
  <si>
    <t>29.06.26</t>
  </si>
  <si>
    <t>HR63D4510</t>
  </si>
  <si>
    <t>GT/3512</t>
  </si>
  <si>
    <t>26.06.2026</t>
  </si>
  <si>
    <t>1,42,400</t>
  </si>
  <si>
    <t>AABV/26-27/97</t>
  </si>
  <si>
    <t>29.06.2026</t>
  </si>
  <si>
    <t>30.06.2026</t>
  </si>
  <si>
    <t>GT/733</t>
  </si>
  <si>
    <t>27.06.2026</t>
  </si>
  <si>
    <t>28.06.2026</t>
  </si>
  <si>
    <t>01.07.26</t>
  </si>
  <si>
    <t>01.07.2026</t>
  </si>
  <si>
    <t>02.07.2026</t>
  </si>
  <si>
    <t>AABV/26-27/95</t>
  </si>
  <si>
    <t>03.07.2026</t>
  </si>
  <si>
    <t>1,46,250</t>
  </si>
  <si>
    <t>Shree Bholenath Carriers</t>
  </si>
  <si>
    <t>GJ39T5053</t>
  </si>
  <si>
    <t>AABV/26-27/94</t>
  </si>
  <si>
    <t>04.07.2026</t>
  </si>
  <si>
    <t>AABV/26-27/96</t>
  </si>
  <si>
    <t>06.07.2026</t>
  </si>
  <si>
    <t>Shambhu Roadways</t>
  </si>
  <si>
    <t>GJ12BW3510</t>
  </si>
  <si>
    <t>GT/3610</t>
  </si>
  <si>
    <t>07.07.2026</t>
  </si>
  <si>
    <t>AABV/26-27/98</t>
  </si>
  <si>
    <t>08.07.2026</t>
  </si>
  <si>
    <t>GT/3611</t>
  </si>
  <si>
    <t>GT/805</t>
  </si>
  <si>
    <t>05.07.2026</t>
  </si>
  <si>
    <t>1,57,000</t>
  </si>
  <si>
    <t>GT/3677</t>
  </si>
  <si>
    <t>09.07.2026</t>
  </si>
  <si>
    <t>1,41,100</t>
  </si>
  <si>
    <t>RJ47GA6624</t>
  </si>
  <si>
    <t>03.07.26</t>
  </si>
  <si>
    <t>10.07.26</t>
  </si>
  <si>
    <t>GT/3666</t>
  </si>
  <si>
    <t>10.07.2026</t>
  </si>
  <si>
    <t>GT/3681</t>
  </si>
  <si>
    <t>11.07.2026</t>
  </si>
  <si>
    <t>13.07.2026</t>
  </si>
  <si>
    <t>GJ39TB1829</t>
  </si>
  <si>
    <t>VARPL/2627/01871</t>
  </si>
  <si>
    <t>14.07.2026</t>
  </si>
  <si>
    <t>1,43,200</t>
  </si>
  <si>
    <t>12.07.2026</t>
  </si>
  <si>
    <t>VARPL/2627/01869</t>
  </si>
  <si>
    <t>15.07.2026</t>
  </si>
  <si>
    <t>1,54,800</t>
  </si>
  <si>
    <t>16.07.2026</t>
  </si>
  <si>
    <t>VARPL/2627/01897</t>
  </si>
  <si>
    <t>17.07.2026</t>
  </si>
  <si>
    <t>GT/876</t>
  </si>
  <si>
    <t>18.07.2026</t>
  </si>
  <si>
    <t>VARPL/2627/01958</t>
  </si>
  <si>
    <t>20.07.2026</t>
  </si>
  <si>
    <t>VARPL/2627/01964</t>
  </si>
  <si>
    <t>VARPL/2627/01895</t>
  </si>
  <si>
    <t>GT/899</t>
  </si>
  <si>
    <t>21.07.2026</t>
  </si>
  <si>
    <t>GROUNDNUT OIL REFINED</t>
  </si>
  <si>
    <t>GT/919</t>
  </si>
  <si>
    <t>22.07.2026</t>
  </si>
  <si>
    <t>23.07.2026</t>
  </si>
  <si>
    <t>REFINED MUSTARD OIL</t>
  </si>
  <si>
    <t>AABV/26-27/139</t>
  </si>
  <si>
    <t>GJ12BW9066</t>
  </si>
  <si>
    <t>24.07.2026</t>
  </si>
  <si>
    <t>BHUMIKA ROADLINES</t>
  </si>
  <si>
    <t>HR63D3638</t>
  </si>
  <si>
    <t>GT/941</t>
  </si>
  <si>
    <t>19.07.2026</t>
  </si>
  <si>
    <t>25.07.2026</t>
  </si>
  <si>
    <t>1,62,500</t>
  </si>
  <si>
    <t>AABV/26-27/143</t>
  </si>
  <si>
    <t>GJ12BV2968</t>
  </si>
  <si>
    <t>22.7.2026</t>
  </si>
  <si>
    <t>28.07.2026</t>
  </si>
  <si>
    <t>HR63D1601</t>
  </si>
  <si>
    <t>GJ12BX8999</t>
  </si>
  <si>
    <t>VARPL/2627/02042</t>
  </si>
  <si>
    <t>29.07.2026</t>
  </si>
  <si>
    <t>26.07.2026</t>
  </si>
  <si>
    <t>30.07.2026</t>
  </si>
  <si>
    <t>GJ12BX6030</t>
  </si>
  <si>
    <t>31.07.2026</t>
  </si>
  <si>
    <t>GT/1014</t>
  </si>
  <si>
    <t>1,66,000</t>
  </si>
  <si>
    <t>SHORTAGE RECD (MTS)</t>
  </si>
  <si>
    <t>ALLOW SHORTAGE (MTS)</t>
  </si>
  <si>
    <t>DEDUCTION QTY (MTS)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</si>
</sst>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_ * #,##0.000_ ;_ * \-#,##0.000_ ;_ * &quot;-&quot;??_ ;_ @_ 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right" wrapText="1"/>
    </xf>
    <xf numFmtId="2" fontId="2" fillId="0" borderId="0" xfId="0" applyNumberFormat="1" applyFont="1" applyFill="1" applyBorder="1" applyAlignment="1">
      <alignment horizontal="center" wrapText="1"/>
    </xf>
    <xf numFmtId="2" fontId="0" fillId="0" borderId="0" xfId="0" applyNumberFormat="1" applyFill="1" applyBorder="1"/>
    <xf numFmtId="1" fontId="2" fillId="0" borderId="0" xfId="0" applyNumberFormat="1" applyFont="1" applyFill="1" applyBorder="1" applyAlignment="1">
      <alignment horizontal="center" wrapText="1"/>
    </xf>
    <xf numFmtId="1" fontId="0" fillId="0" borderId="0" xfId="0" applyNumberFormat="1" applyFill="1" applyBorder="1"/>
    <xf numFmtId="1" fontId="2" fillId="0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 wrapText="1"/>
    </xf>
    <xf numFmtId="43" fontId="2" fillId="0" borderId="1" xfId="1" applyFont="1" applyFill="1" applyBorder="1" applyAlignment="1">
      <alignment horizontal="center" wrapText="1"/>
    </xf>
    <xf numFmtId="43" fontId="2" fillId="0" borderId="1" xfId="0" applyNumberFormat="1" applyFont="1" applyFill="1" applyBorder="1" applyAlignment="1">
      <alignment horizontal="right" wrapText="1"/>
    </xf>
    <xf numFmtId="171" fontId="2" fillId="0" borderId="1" xfId="0" applyNumberFormat="1" applyFont="1" applyFill="1" applyBorder="1" applyAlignment="1">
      <alignment horizontal="right" wrapText="1"/>
    </xf>
    <xf numFmtId="43" fontId="2" fillId="0" borderId="1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DEC7-6DD1-4EC9-9E1B-BE0252FFFE9A}">
  <dimension ref="A1:AE149"/>
  <sheetViews>
    <sheetView tabSelected="1" topLeftCell="H1" zoomScaleNormal="100" workbookViewId="0">
      <selection activeCell="S3" sqref="S3"/>
    </sheetView>
  </sheetViews>
  <sheetFormatPr defaultRowHeight="15" x14ac:dyDescent="0.25"/>
  <cols>
    <col min="1" max="1" width="8.28515625" style="8" bestFit="1" customWidth="1"/>
    <col min="2" max="2" width="40.5703125" style="8" bestFit="1" customWidth="1"/>
    <col min="3" max="3" width="15" style="8" bestFit="1" customWidth="1"/>
    <col min="4" max="4" width="9.42578125" style="8" bestFit="1" customWidth="1"/>
    <col min="5" max="5" width="20.28515625" style="8" bestFit="1" customWidth="1"/>
    <col min="6" max="6" width="17" style="14" bestFit="1" customWidth="1"/>
    <col min="7" max="8" width="9.85546875" style="8" bestFit="1" customWidth="1"/>
    <col min="9" max="9" width="29.28515625" style="8" bestFit="1" customWidth="1"/>
    <col min="10" max="10" width="14" style="8" bestFit="1" customWidth="1"/>
    <col min="11" max="11" width="11.28515625" style="8" bestFit="1" customWidth="1"/>
    <col min="12" max="12" width="12.85546875" style="12" bestFit="1" customWidth="1"/>
    <col min="13" max="13" width="16.42578125" style="8" bestFit="1" customWidth="1"/>
    <col min="14" max="14" width="15.85546875" style="8" bestFit="1" customWidth="1"/>
    <col min="15" max="15" width="15.85546875" style="8" customWidth="1"/>
    <col min="16" max="16" width="13.85546875" style="8" bestFit="1" customWidth="1"/>
    <col min="17" max="17" width="15.7109375" style="8" bestFit="1" customWidth="1"/>
    <col min="18" max="18" width="13.85546875" style="8" bestFit="1" customWidth="1"/>
    <col min="19" max="19" width="15" style="8" bestFit="1" customWidth="1"/>
    <col min="20" max="20" width="16.5703125" style="8" bestFit="1" customWidth="1"/>
    <col min="21" max="21" width="11.28515625" style="8" bestFit="1" customWidth="1"/>
    <col min="22" max="22" width="19.7109375" style="8" bestFit="1" customWidth="1"/>
    <col min="23" max="23" width="14.42578125" style="8" bestFit="1" customWidth="1"/>
    <col min="24" max="25" width="14.42578125" style="8" customWidth="1"/>
    <col min="26" max="26" width="10" style="8" bestFit="1" customWidth="1"/>
    <col min="27" max="27" width="35.7109375" style="8" bestFit="1" customWidth="1"/>
    <col min="28" max="28" width="14.7109375" style="8" bestFit="1" customWidth="1"/>
    <col min="29" max="29" width="12.42578125" style="8" bestFit="1" customWidth="1"/>
    <col min="30" max="30" width="11" style="8" bestFit="1" customWidth="1"/>
    <col min="31" max="31" width="12.7109375" style="8" bestFit="1" customWidth="1"/>
    <col min="32" max="16384" width="9.140625" style="8"/>
  </cols>
  <sheetData>
    <row r="1" spans="1:31" ht="26.25" x14ac:dyDescent="0.25">
      <c r="A1" s="16"/>
      <c r="B1" s="17" t="s">
        <v>0</v>
      </c>
      <c r="C1" s="18" t="s">
        <v>1</v>
      </c>
      <c r="D1" s="18" t="s">
        <v>2</v>
      </c>
      <c r="E1" s="18" t="s">
        <v>3</v>
      </c>
      <c r="F1" s="19" t="s">
        <v>4</v>
      </c>
      <c r="G1" s="18" t="s">
        <v>5</v>
      </c>
      <c r="H1" s="17" t="s">
        <v>6</v>
      </c>
      <c r="I1" s="18" t="s">
        <v>7</v>
      </c>
      <c r="J1" s="18" t="s">
        <v>8</v>
      </c>
      <c r="K1" s="18" t="s">
        <v>9</v>
      </c>
      <c r="L1" s="20" t="s">
        <v>10</v>
      </c>
      <c r="M1" s="18" t="s">
        <v>11</v>
      </c>
      <c r="N1" s="18" t="s">
        <v>12</v>
      </c>
      <c r="O1" s="18" t="s">
        <v>13</v>
      </c>
      <c r="P1" s="18" t="s">
        <v>386</v>
      </c>
      <c r="Q1" s="18" t="s">
        <v>387</v>
      </c>
      <c r="R1" s="18" t="s">
        <v>388</v>
      </c>
      <c r="S1" s="18" t="s">
        <v>14</v>
      </c>
      <c r="T1" s="18" t="s">
        <v>15</v>
      </c>
      <c r="U1" s="18" t="s">
        <v>16</v>
      </c>
      <c r="V1" s="18" t="s">
        <v>17</v>
      </c>
      <c r="W1" s="18" t="s">
        <v>18</v>
      </c>
      <c r="X1" s="18" t="s">
        <v>19</v>
      </c>
      <c r="Y1" s="18" t="s">
        <v>20</v>
      </c>
      <c r="Z1" s="18" t="s">
        <v>20</v>
      </c>
      <c r="AA1" s="18" t="s">
        <v>21</v>
      </c>
      <c r="AB1" s="18" t="s">
        <v>22</v>
      </c>
      <c r="AC1" s="18" t="s">
        <v>23</v>
      </c>
      <c r="AD1" s="18" t="s">
        <v>24</v>
      </c>
      <c r="AE1" s="18" t="s">
        <v>25</v>
      </c>
    </row>
    <row r="2" spans="1:31" x14ac:dyDescent="0.25">
      <c r="A2" s="1" t="s">
        <v>26</v>
      </c>
      <c r="B2" s="1" t="s">
        <v>27</v>
      </c>
      <c r="C2" s="2">
        <v>326226570</v>
      </c>
      <c r="D2" s="2" t="s">
        <v>28</v>
      </c>
      <c r="E2" s="2">
        <v>30</v>
      </c>
      <c r="F2" s="15">
        <v>195225010832</v>
      </c>
      <c r="G2" s="2" t="s">
        <v>29</v>
      </c>
      <c r="H2" s="2" t="s">
        <v>30</v>
      </c>
      <c r="I2" s="2" t="s">
        <v>31</v>
      </c>
      <c r="J2" s="2">
        <v>29.18</v>
      </c>
      <c r="K2" s="2" t="s">
        <v>32</v>
      </c>
      <c r="L2" s="22">
        <f>J2*K2</f>
        <v>4289460</v>
      </c>
      <c r="M2" s="2">
        <v>29.07</v>
      </c>
      <c r="N2" s="21">
        <v>31945.022999999997</v>
      </c>
      <c r="O2" s="22">
        <f>L2/M2</f>
        <v>147556.24355005159</v>
      </c>
      <c r="P2" s="2">
        <f>J2-M2</f>
        <v>0.10999999999999943</v>
      </c>
      <c r="Q2" s="24">
        <f>J2*0.25%</f>
        <v>7.2950000000000001E-2</v>
      </c>
      <c r="R2" s="24">
        <f>P2-Q2</f>
        <v>3.7049999999999431E-2</v>
      </c>
      <c r="S2" s="23">
        <f>IF(R2&gt;0,R2*K2)</f>
        <v>5446.3499999999167</v>
      </c>
      <c r="T2" s="3">
        <v>0</v>
      </c>
      <c r="U2" s="3">
        <f>T2*M2</f>
        <v>0</v>
      </c>
      <c r="V2" s="2">
        <v>0</v>
      </c>
      <c r="W2" s="2">
        <f>V2*J2</f>
        <v>0</v>
      </c>
      <c r="X2" s="25">
        <f>(L2+U2+W2)/M2</f>
        <v>147556.24355005159</v>
      </c>
      <c r="Y2" s="25">
        <f>X2/1.0989</f>
        <v>134276.31590686284</v>
      </c>
      <c r="Z2" s="25">
        <f>Y2/1000</f>
        <v>134.27631590686283</v>
      </c>
      <c r="AA2" s="2" t="s">
        <v>33</v>
      </c>
      <c r="AB2" s="2" t="s">
        <v>34</v>
      </c>
      <c r="AC2" s="2">
        <v>2727</v>
      </c>
      <c r="AD2" s="2"/>
      <c r="AE2" s="4"/>
    </row>
    <row r="3" spans="1:31" x14ac:dyDescent="0.25">
      <c r="A3" s="1" t="s">
        <v>26</v>
      </c>
      <c r="B3" s="1" t="s">
        <v>27</v>
      </c>
      <c r="C3" s="2">
        <v>326226518</v>
      </c>
      <c r="D3" s="2" t="s">
        <v>28</v>
      </c>
      <c r="E3" s="2">
        <v>40</v>
      </c>
      <c r="F3" s="15">
        <v>190826001174</v>
      </c>
      <c r="G3" s="2" t="s">
        <v>45</v>
      </c>
      <c r="H3" s="2" t="s">
        <v>50</v>
      </c>
      <c r="I3" s="2" t="s">
        <v>51</v>
      </c>
      <c r="J3" s="2">
        <v>39.880000000000003</v>
      </c>
      <c r="K3" s="2" t="s">
        <v>52</v>
      </c>
      <c r="L3" s="22">
        <f t="shared" ref="L3:L66" si="0">J3*K3</f>
        <v>5503440</v>
      </c>
      <c r="M3" s="2">
        <v>39.85</v>
      </c>
      <c r="N3" s="21">
        <v>43791.165000000001</v>
      </c>
      <c r="O3" s="22">
        <f t="shared" ref="O3:O66" si="1">L3/M3</f>
        <v>138103.8895859473</v>
      </c>
      <c r="P3" s="2">
        <f t="shared" ref="P3:P66" si="2">J3-M3</f>
        <v>3.0000000000001137E-2</v>
      </c>
      <c r="Q3" s="24">
        <f t="shared" ref="Q3:Q66" si="3">J3*0.25%</f>
        <v>9.9700000000000011E-2</v>
      </c>
      <c r="R3" s="24">
        <f t="shared" ref="R3:R66" si="4">P3-Q3</f>
        <v>-6.9699999999998874E-2</v>
      </c>
      <c r="S3" s="23">
        <f>IF(R3&gt;0,R3*K3,0)</f>
        <v>0</v>
      </c>
      <c r="T3" s="3">
        <v>0</v>
      </c>
      <c r="U3" s="3">
        <f t="shared" ref="U3:U66" si="5">T3*M3</f>
        <v>0</v>
      </c>
      <c r="V3" s="2">
        <v>0</v>
      </c>
      <c r="W3" s="2">
        <f>V3*J3</f>
        <v>0</v>
      </c>
      <c r="X3" s="25">
        <f t="shared" ref="X3:X66" si="6">(L3+U3+W3)/M3</f>
        <v>138103.8895859473</v>
      </c>
      <c r="Y3" s="25">
        <f t="shared" ref="Y3:Y66" si="7">X3/1.0989</f>
        <v>125674.66519787724</v>
      </c>
      <c r="Z3" s="25">
        <f t="shared" ref="Z3:Z66" si="8">Y3/1000</f>
        <v>125.67466519787725</v>
      </c>
      <c r="AA3" s="2" t="s">
        <v>53</v>
      </c>
      <c r="AB3" s="2" t="s">
        <v>54</v>
      </c>
      <c r="AC3" s="2">
        <v>13784</v>
      </c>
      <c r="AD3" s="2"/>
      <c r="AE3" s="4"/>
    </row>
    <row r="4" spans="1:31" x14ac:dyDescent="0.25">
      <c r="A4" s="1" t="s">
        <v>26</v>
      </c>
      <c r="B4" s="1" t="s">
        <v>55</v>
      </c>
      <c r="C4" s="2">
        <v>220426018</v>
      </c>
      <c r="D4" s="2" t="s">
        <v>36</v>
      </c>
      <c r="E4" s="2">
        <v>42</v>
      </c>
      <c r="F4" s="15" t="s">
        <v>56</v>
      </c>
      <c r="G4" s="2" t="s">
        <v>47</v>
      </c>
      <c r="H4" s="2" t="s">
        <v>57</v>
      </c>
      <c r="I4" s="2" t="s">
        <v>58</v>
      </c>
      <c r="J4" s="2">
        <v>41.55</v>
      </c>
      <c r="K4" s="2" t="s">
        <v>59</v>
      </c>
      <c r="L4" s="22">
        <f t="shared" si="0"/>
        <v>6411165</v>
      </c>
      <c r="M4" s="2">
        <v>41.4</v>
      </c>
      <c r="N4" s="21">
        <v>45494.46</v>
      </c>
      <c r="O4" s="22">
        <f t="shared" si="1"/>
        <v>154859.0579710145</v>
      </c>
      <c r="P4" s="2">
        <f t="shared" si="2"/>
        <v>0.14999999999999858</v>
      </c>
      <c r="Q4" s="24">
        <f t="shared" si="3"/>
        <v>0.103875</v>
      </c>
      <c r="R4" s="24">
        <f t="shared" si="4"/>
        <v>4.6124999999998584E-2</v>
      </c>
      <c r="S4" s="23">
        <f>IF(R4&gt;0,R4*K4,0)</f>
        <v>7117.0874999997814</v>
      </c>
      <c r="T4" s="3">
        <v>4000</v>
      </c>
      <c r="U4" s="3">
        <f t="shared" si="5"/>
        <v>165600</v>
      </c>
      <c r="V4" s="2">
        <v>75</v>
      </c>
      <c r="W4" s="2">
        <f>V4*J4</f>
        <v>3116.25</v>
      </c>
      <c r="X4" s="25">
        <f t="shared" si="6"/>
        <v>158934.32971014493</v>
      </c>
      <c r="Y4" s="25">
        <f t="shared" si="7"/>
        <v>144630.38466661656</v>
      </c>
      <c r="Z4" s="25">
        <f t="shared" si="8"/>
        <v>144.63038466661655</v>
      </c>
      <c r="AA4" s="2" t="s">
        <v>38</v>
      </c>
      <c r="AB4" s="2" t="s">
        <v>60</v>
      </c>
      <c r="AC4" s="2">
        <v>7956</v>
      </c>
      <c r="AD4" s="2">
        <v>2026046615</v>
      </c>
      <c r="AE4" s="4"/>
    </row>
    <row r="5" spans="1:31" x14ac:dyDescent="0.25">
      <c r="A5" s="1" t="s">
        <v>26</v>
      </c>
      <c r="B5" s="1" t="s">
        <v>61</v>
      </c>
      <c r="C5" s="2">
        <v>326226583</v>
      </c>
      <c r="D5" s="2" t="s">
        <v>36</v>
      </c>
      <c r="E5" s="2">
        <v>42</v>
      </c>
      <c r="F5" s="15" t="s">
        <v>62</v>
      </c>
      <c r="G5" s="2" t="s">
        <v>47</v>
      </c>
      <c r="H5" s="2" t="s">
        <v>63</v>
      </c>
      <c r="I5" s="2" t="s">
        <v>64</v>
      </c>
      <c r="J5" s="2">
        <v>41.31</v>
      </c>
      <c r="K5" s="2" t="s">
        <v>65</v>
      </c>
      <c r="L5" s="22">
        <f t="shared" si="0"/>
        <v>7022700</v>
      </c>
      <c r="M5" s="2">
        <v>41</v>
      </c>
      <c r="N5" s="21">
        <v>45054.899999999994</v>
      </c>
      <c r="O5" s="22">
        <f t="shared" si="1"/>
        <v>171285.36585365853</v>
      </c>
      <c r="P5" s="2">
        <f t="shared" si="2"/>
        <v>0.31000000000000227</v>
      </c>
      <c r="Q5" s="24">
        <f t="shared" si="3"/>
        <v>0.10327500000000001</v>
      </c>
      <c r="R5" s="24">
        <f t="shared" si="4"/>
        <v>0.20672500000000227</v>
      </c>
      <c r="S5" s="23">
        <f t="shared" ref="S5:S68" si="9">IF(R5&gt;0,R5*K5,0)</f>
        <v>35143.250000000386</v>
      </c>
      <c r="T5" s="3">
        <v>4000</v>
      </c>
      <c r="U5" s="3">
        <f t="shared" si="5"/>
        <v>164000</v>
      </c>
      <c r="V5" s="2">
        <v>0</v>
      </c>
      <c r="W5" s="2">
        <f t="shared" ref="W5:W68" si="10">V5*J5</f>
        <v>0</v>
      </c>
      <c r="X5" s="25">
        <f t="shared" si="6"/>
        <v>175285.36585365853</v>
      </c>
      <c r="Y5" s="25">
        <f t="shared" si="7"/>
        <v>159509.84243667169</v>
      </c>
      <c r="Z5" s="25">
        <f t="shared" si="8"/>
        <v>159.5098424366717</v>
      </c>
      <c r="AA5" s="2" t="s">
        <v>38</v>
      </c>
      <c r="AB5" s="2" t="s">
        <v>66</v>
      </c>
      <c r="AC5" s="2">
        <v>8259</v>
      </c>
      <c r="AD5" s="2"/>
      <c r="AE5" s="4"/>
    </row>
    <row r="6" spans="1:31" x14ac:dyDescent="0.25">
      <c r="A6" s="1" t="s">
        <v>26</v>
      </c>
      <c r="B6" s="1" t="s">
        <v>55</v>
      </c>
      <c r="C6" s="2">
        <v>220426018</v>
      </c>
      <c r="D6" s="2" t="s">
        <v>36</v>
      </c>
      <c r="E6" s="2">
        <v>42</v>
      </c>
      <c r="F6" s="15" t="s">
        <v>67</v>
      </c>
      <c r="G6" s="2" t="s">
        <v>50</v>
      </c>
      <c r="H6" s="2" t="s">
        <v>63</v>
      </c>
      <c r="I6" s="2" t="s">
        <v>58</v>
      </c>
      <c r="J6" s="2">
        <v>41.97</v>
      </c>
      <c r="K6" s="2" t="s">
        <v>59</v>
      </c>
      <c r="L6" s="22">
        <f t="shared" si="0"/>
        <v>6475971</v>
      </c>
      <c r="M6" s="2">
        <v>41.83</v>
      </c>
      <c r="N6" s="21">
        <v>45966.986999999994</v>
      </c>
      <c r="O6" s="22">
        <f t="shared" si="1"/>
        <v>154816.42361941191</v>
      </c>
      <c r="P6" s="2">
        <f t="shared" si="2"/>
        <v>0.14000000000000057</v>
      </c>
      <c r="Q6" s="24">
        <f t="shared" si="3"/>
        <v>0.104925</v>
      </c>
      <c r="R6" s="24">
        <f t="shared" si="4"/>
        <v>3.5075000000000564E-2</v>
      </c>
      <c r="S6" s="23">
        <f t="shared" si="9"/>
        <v>5412.0725000000866</v>
      </c>
      <c r="T6" s="3">
        <v>4000</v>
      </c>
      <c r="U6" s="3">
        <f t="shared" si="5"/>
        <v>167320</v>
      </c>
      <c r="V6" s="2">
        <v>75</v>
      </c>
      <c r="W6" s="2">
        <f t="shared" si="10"/>
        <v>3147.75</v>
      </c>
      <c r="X6" s="25">
        <f t="shared" si="6"/>
        <v>158891.67463542911</v>
      </c>
      <c r="Y6" s="25">
        <f t="shared" si="7"/>
        <v>144591.568509809</v>
      </c>
      <c r="Z6" s="25">
        <f t="shared" si="8"/>
        <v>144.59156850980901</v>
      </c>
      <c r="AA6" s="2" t="s">
        <v>38</v>
      </c>
      <c r="AB6" s="2" t="s">
        <v>68</v>
      </c>
      <c r="AC6" s="2">
        <v>7957</v>
      </c>
      <c r="AD6" s="2"/>
      <c r="AE6" s="4"/>
    </row>
    <row r="7" spans="1:31" x14ac:dyDescent="0.25">
      <c r="A7" s="1" t="s">
        <v>26</v>
      </c>
      <c r="B7" s="1" t="s">
        <v>27</v>
      </c>
      <c r="C7" s="2">
        <v>220426064</v>
      </c>
      <c r="D7" s="2" t="s">
        <v>28</v>
      </c>
      <c r="E7" s="2">
        <v>11</v>
      </c>
      <c r="F7" s="15">
        <v>195226000612</v>
      </c>
      <c r="G7" s="2" t="s">
        <v>63</v>
      </c>
      <c r="H7" s="2" t="s">
        <v>69</v>
      </c>
      <c r="I7" s="2" t="s">
        <v>31</v>
      </c>
      <c r="J7" s="2">
        <v>10.82</v>
      </c>
      <c r="K7" s="2" t="s">
        <v>32</v>
      </c>
      <c r="L7" s="22">
        <f t="shared" si="0"/>
        <v>1590540</v>
      </c>
      <c r="M7" s="2">
        <v>10.741</v>
      </c>
      <c r="N7" s="21">
        <v>11803.284899999999</v>
      </c>
      <c r="O7" s="22">
        <f t="shared" si="1"/>
        <v>148081.1842472768</v>
      </c>
      <c r="P7" s="2">
        <f t="shared" si="2"/>
        <v>7.9000000000000625E-2</v>
      </c>
      <c r="Q7" s="24">
        <f t="shared" si="3"/>
        <v>2.7050000000000001E-2</v>
      </c>
      <c r="R7" s="24">
        <f t="shared" si="4"/>
        <v>5.1950000000000621E-2</v>
      </c>
      <c r="S7" s="23">
        <f t="shared" si="9"/>
        <v>7636.6500000000915</v>
      </c>
      <c r="T7" s="3">
        <v>0</v>
      </c>
      <c r="U7" s="3">
        <f t="shared" si="5"/>
        <v>0</v>
      </c>
      <c r="V7" s="2">
        <v>0</v>
      </c>
      <c r="W7" s="2">
        <f t="shared" si="10"/>
        <v>0</v>
      </c>
      <c r="X7" s="25">
        <f t="shared" si="6"/>
        <v>148081.1842472768</v>
      </c>
      <c r="Y7" s="25">
        <f t="shared" si="7"/>
        <v>134754.01241903432</v>
      </c>
      <c r="Z7" s="25">
        <f t="shared" si="8"/>
        <v>134.75401241903432</v>
      </c>
      <c r="AA7" s="2" t="s">
        <v>53</v>
      </c>
      <c r="AB7" s="2" t="s">
        <v>70</v>
      </c>
      <c r="AC7" s="2">
        <v>14333</v>
      </c>
      <c r="AD7" s="2"/>
      <c r="AE7" s="4"/>
    </row>
    <row r="8" spans="1:31" x14ac:dyDescent="0.25">
      <c r="A8" s="1" t="s">
        <v>26</v>
      </c>
      <c r="B8" s="1" t="s">
        <v>27</v>
      </c>
      <c r="C8" s="2">
        <v>220426064</v>
      </c>
      <c r="D8" s="2" t="s">
        <v>28</v>
      </c>
      <c r="E8" s="2">
        <v>19</v>
      </c>
      <c r="F8" s="15">
        <v>195226000613</v>
      </c>
      <c r="G8" s="2" t="s">
        <v>63</v>
      </c>
      <c r="H8" s="2" t="s">
        <v>69</v>
      </c>
      <c r="I8" s="2" t="s">
        <v>31</v>
      </c>
      <c r="J8" s="2">
        <v>19.22</v>
      </c>
      <c r="K8" s="2" t="s">
        <v>32</v>
      </c>
      <c r="L8" s="22">
        <f t="shared" si="0"/>
        <v>2825340</v>
      </c>
      <c r="M8" s="2">
        <v>19.079000000000001</v>
      </c>
      <c r="N8" s="21">
        <v>20965.913100000002</v>
      </c>
      <c r="O8" s="22">
        <f t="shared" si="1"/>
        <v>148086.37769275118</v>
      </c>
      <c r="P8" s="2">
        <f t="shared" si="2"/>
        <v>0.14099999999999824</v>
      </c>
      <c r="Q8" s="24">
        <f t="shared" si="3"/>
        <v>4.8049999999999995E-2</v>
      </c>
      <c r="R8" s="24">
        <f t="shared" si="4"/>
        <v>9.2949999999998242E-2</v>
      </c>
      <c r="S8" s="23">
        <f t="shared" si="9"/>
        <v>13663.649999999741</v>
      </c>
      <c r="T8" s="3">
        <v>0</v>
      </c>
      <c r="U8" s="3">
        <f t="shared" si="5"/>
        <v>0</v>
      </c>
      <c r="V8" s="2">
        <v>0</v>
      </c>
      <c r="W8" s="2">
        <f t="shared" si="10"/>
        <v>0</v>
      </c>
      <c r="X8" s="25">
        <f t="shared" si="6"/>
        <v>148086.37769275118</v>
      </c>
      <c r="Y8" s="25">
        <f t="shared" si="7"/>
        <v>134758.73845914204</v>
      </c>
      <c r="Z8" s="25">
        <f t="shared" si="8"/>
        <v>134.75873845914205</v>
      </c>
      <c r="AA8" s="2" t="s">
        <v>53</v>
      </c>
      <c r="AB8" s="2" t="s">
        <v>70</v>
      </c>
      <c r="AC8" s="2">
        <v>14333</v>
      </c>
      <c r="AD8" s="2"/>
      <c r="AE8" s="4"/>
    </row>
    <row r="9" spans="1:31" x14ac:dyDescent="0.25">
      <c r="A9" s="1" t="s">
        <v>26</v>
      </c>
      <c r="B9" s="1" t="s">
        <v>71</v>
      </c>
      <c r="C9" s="2">
        <v>220426026</v>
      </c>
      <c r="D9" s="2" t="s">
        <v>36</v>
      </c>
      <c r="E9" s="2" t="s">
        <v>72</v>
      </c>
      <c r="F9" s="15" t="s">
        <v>73</v>
      </c>
      <c r="G9" s="2" t="s">
        <v>74</v>
      </c>
      <c r="H9" s="2" t="s">
        <v>75</v>
      </c>
      <c r="I9" s="2" t="s">
        <v>76</v>
      </c>
      <c r="J9" s="2">
        <v>2</v>
      </c>
      <c r="K9" s="2" t="s">
        <v>77</v>
      </c>
      <c r="L9" s="22">
        <f t="shared" si="0"/>
        <v>506000</v>
      </c>
      <c r="M9" s="2">
        <v>2</v>
      </c>
      <c r="N9" s="21">
        <v>2197.8000000000002</v>
      </c>
      <c r="O9" s="22">
        <f t="shared" si="1"/>
        <v>253000</v>
      </c>
      <c r="P9" s="2">
        <f t="shared" si="2"/>
        <v>0</v>
      </c>
      <c r="Q9" s="24">
        <f t="shared" si="3"/>
        <v>5.0000000000000001E-3</v>
      </c>
      <c r="R9" s="24">
        <f t="shared" si="4"/>
        <v>-5.0000000000000001E-3</v>
      </c>
      <c r="S9" s="23">
        <f t="shared" si="9"/>
        <v>0</v>
      </c>
      <c r="T9" s="3">
        <v>10000</v>
      </c>
      <c r="U9" s="3">
        <f t="shared" si="5"/>
        <v>20000</v>
      </c>
      <c r="V9" s="2">
        <v>0</v>
      </c>
      <c r="W9" s="2">
        <f t="shared" si="10"/>
        <v>0</v>
      </c>
      <c r="X9" s="25">
        <f t="shared" si="6"/>
        <v>263000</v>
      </c>
      <c r="Y9" s="25">
        <f t="shared" si="7"/>
        <v>239330.23933023933</v>
      </c>
      <c r="Z9" s="25">
        <f t="shared" si="8"/>
        <v>239.33023933023932</v>
      </c>
      <c r="AA9" s="2" t="s">
        <v>78</v>
      </c>
      <c r="AB9" s="2" t="s">
        <v>79</v>
      </c>
      <c r="AC9" s="2" t="s">
        <v>80</v>
      </c>
      <c r="AD9" s="2"/>
      <c r="AE9" s="4"/>
    </row>
    <row r="10" spans="1:31" x14ac:dyDescent="0.25">
      <c r="A10" s="1" t="s">
        <v>26</v>
      </c>
      <c r="B10" s="1" t="s">
        <v>55</v>
      </c>
      <c r="C10" s="2">
        <v>220426018</v>
      </c>
      <c r="D10" s="2" t="s">
        <v>36</v>
      </c>
      <c r="E10" s="2">
        <v>42</v>
      </c>
      <c r="F10" s="15" t="s">
        <v>82</v>
      </c>
      <c r="G10" s="2" t="s">
        <v>83</v>
      </c>
      <c r="H10" s="2" t="s">
        <v>75</v>
      </c>
      <c r="I10" s="2" t="s">
        <v>58</v>
      </c>
      <c r="J10" s="2">
        <v>41.88</v>
      </c>
      <c r="K10" s="2" t="s">
        <v>59</v>
      </c>
      <c r="L10" s="22">
        <f t="shared" si="0"/>
        <v>6462084</v>
      </c>
      <c r="M10" s="2">
        <v>41.73</v>
      </c>
      <c r="N10" s="21">
        <v>45857.096999999994</v>
      </c>
      <c r="O10" s="22">
        <f t="shared" si="1"/>
        <v>154854.63695183324</v>
      </c>
      <c r="P10" s="2">
        <f t="shared" si="2"/>
        <v>0.15000000000000568</v>
      </c>
      <c r="Q10" s="24">
        <f t="shared" si="3"/>
        <v>0.10470000000000002</v>
      </c>
      <c r="R10" s="24">
        <f t="shared" si="4"/>
        <v>4.5300000000005669E-2</v>
      </c>
      <c r="S10" s="23">
        <f t="shared" si="9"/>
        <v>6989.7900000008749</v>
      </c>
      <c r="T10" s="3">
        <v>4000</v>
      </c>
      <c r="U10" s="3">
        <f t="shared" si="5"/>
        <v>166920</v>
      </c>
      <c r="V10" s="2">
        <v>75</v>
      </c>
      <c r="W10" s="2">
        <f t="shared" si="10"/>
        <v>3141</v>
      </c>
      <c r="X10" s="25">
        <f t="shared" si="6"/>
        <v>158929.90654205609</v>
      </c>
      <c r="Y10" s="25">
        <f t="shared" si="7"/>
        <v>144626.35957963063</v>
      </c>
      <c r="Z10" s="25">
        <f t="shared" si="8"/>
        <v>144.62635957963064</v>
      </c>
      <c r="AA10" s="2" t="s">
        <v>38</v>
      </c>
      <c r="AB10" s="2" t="s">
        <v>84</v>
      </c>
      <c r="AC10" s="2">
        <v>7958</v>
      </c>
      <c r="AD10" s="2"/>
      <c r="AE10" s="4"/>
    </row>
    <row r="11" spans="1:31" x14ac:dyDescent="0.25">
      <c r="A11" s="1" t="s">
        <v>26</v>
      </c>
      <c r="B11" s="1" t="s">
        <v>85</v>
      </c>
      <c r="C11" s="2">
        <v>220426065</v>
      </c>
      <c r="D11" s="2" t="s">
        <v>36</v>
      </c>
      <c r="E11" s="2">
        <v>42</v>
      </c>
      <c r="F11" s="15" t="s">
        <v>86</v>
      </c>
      <c r="G11" s="2" t="s">
        <v>87</v>
      </c>
      <c r="H11" s="2" t="s">
        <v>88</v>
      </c>
      <c r="I11" s="2" t="s">
        <v>89</v>
      </c>
      <c r="J11" s="2">
        <v>39.619999999999997</v>
      </c>
      <c r="K11" s="2" t="s">
        <v>90</v>
      </c>
      <c r="L11" s="22">
        <f t="shared" si="0"/>
        <v>5566610</v>
      </c>
      <c r="M11" s="2">
        <v>39.450000000000003</v>
      </c>
      <c r="N11" s="21">
        <v>43351.604999999996</v>
      </c>
      <c r="O11" s="22">
        <f t="shared" si="1"/>
        <v>141105.44993662863</v>
      </c>
      <c r="P11" s="2">
        <f t="shared" si="2"/>
        <v>0.1699999999999946</v>
      </c>
      <c r="Q11" s="24">
        <f t="shared" si="3"/>
        <v>9.9049999999999999E-2</v>
      </c>
      <c r="R11" s="24">
        <f t="shared" si="4"/>
        <v>7.0949999999994601E-2</v>
      </c>
      <c r="S11" s="23">
        <f t="shared" si="9"/>
        <v>9968.4749999992418</v>
      </c>
      <c r="T11" s="3">
        <v>3100</v>
      </c>
      <c r="U11" s="3">
        <f t="shared" si="5"/>
        <v>122295.00000000001</v>
      </c>
      <c r="V11" s="2">
        <v>0</v>
      </c>
      <c r="W11" s="2">
        <f t="shared" si="10"/>
        <v>0</v>
      </c>
      <c r="X11" s="25">
        <f t="shared" si="6"/>
        <v>144205.44993662863</v>
      </c>
      <c r="Y11" s="25">
        <f t="shared" si="7"/>
        <v>131227.09066942273</v>
      </c>
      <c r="Z11" s="25">
        <f t="shared" si="8"/>
        <v>131.22709066942272</v>
      </c>
      <c r="AA11" s="2" t="s">
        <v>38</v>
      </c>
      <c r="AB11" s="2" t="s">
        <v>44</v>
      </c>
      <c r="AC11" s="2">
        <v>7098</v>
      </c>
      <c r="AD11" s="2"/>
      <c r="AE11" s="4"/>
    </row>
    <row r="12" spans="1:31" x14ac:dyDescent="0.25">
      <c r="A12" s="1" t="s">
        <v>26</v>
      </c>
      <c r="B12" s="1" t="s">
        <v>94</v>
      </c>
      <c r="C12" s="2">
        <v>220426027</v>
      </c>
      <c r="D12" s="2" t="s">
        <v>36</v>
      </c>
      <c r="E12" s="2" t="s">
        <v>72</v>
      </c>
      <c r="F12" s="15" t="s">
        <v>95</v>
      </c>
      <c r="G12" s="2" t="s">
        <v>83</v>
      </c>
      <c r="H12" s="2" t="s">
        <v>93</v>
      </c>
      <c r="I12" s="2" t="s">
        <v>76</v>
      </c>
      <c r="J12" s="2">
        <v>2</v>
      </c>
      <c r="K12" s="2" t="s">
        <v>96</v>
      </c>
      <c r="L12" s="22">
        <f t="shared" si="0"/>
        <v>740000</v>
      </c>
      <c r="M12" s="2">
        <v>2</v>
      </c>
      <c r="N12" s="21">
        <v>2197.8000000000002</v>
      </c>
      <c r="O12" s="22">
        <f t="shared" si="1"/>
        <v>370000</v>
      </c>
      <c r="P12" s="2">
        <f t="shared" si="2"/>
        <v>0</v>
      </c>
      <c r="Q12" s="24">
        <f t="shared" si="3"/>
        <v>5.0000000000000001E-3</v>
      </c>
      <c r="R12" s="24">
        <f t="shared" si="4"/>
        <v>-5.0000000000000001E-3</v>
      </c>
      <c r="S12" s="23">
        <f t="shared" si="9"/>
        <v>0</v>
      </c>
      <c r="T12" s="3">
        <v>10000</v>
      </c>
      <c r="U12" s="3">
        <f t="shared" si="5"/>
        <v>20000</v>
      </c>
      <c r="V12" s="2">
        <v>0</v>
      </c>
      <c r="W12" s="2">
        <f t="shared" si="10"/>
        <v>0</v>
      </c>
      <c r="X12" s="25">
        <f t="shared" si="6"/>
        <v>380000</v>
      </c>
      <c r="Y12" s="25">
        <f t="shared" si="7"/>
        <v>345800.34580034582</v>
      </c>
      <c r="Z12" s="25">
        <f t="shared" si="8"/>
        <v>345.80034580034584</v>
      </c>
      <c r="AA12" s="2" t="s">
        <v>97</v>
      </c>
      <c r="AB12" s="2" t="s">
        <v>98</v>
      </c>
      <c r="AC12" s="2" t="s">
        <v>99</v>
      </c>
      <c r="AD12" s="2"/>
      <c r="AE12" s="4"/>
    </row>
    <row r="13" spans="1:31" x14ac:dyDescent="0.25">
      <c r="A13" s="1" t="s">
        <v>26</v>
      </c>
      <c r="B13" s="1" t="s">
        <v>35</v>
      </c>
      <c r="C13" s="2">
        <v>220426087</v>
      </c>
      <c r="D13" s="2" t="s">
        <v>36</v>
      </c>
      <c r="E13" s="2">
        <v>42</v>
      </c>
      <c r="F13" s="15" t="s">
        <v>101</v>
      </c>
      <c r="G13" s="2" t="s">
        <v>102</v>
      </c>
      <c r="H13" s="2" t="s">
        <v>103</v>
      </c>
      <c r="I13" s="2" t="s">
        <v>89</v>
      </c>
      <c r="J13" s="2">
        <v>40.590000000000003</v>
      </c>
      <c r="K13" s="2" t="s">
        <v>104</v>
      </c>
      <c r="L13" s="22">
        <f t="shared" si="0"/>
        <v>5897727.0000000009</v>
      </c>
      <c r="M13" s="2">
        <v>40.42</v>
      </c>
      <c r="N13" s="21">
        <v>44417.538</v>
      </c>
      <c r="O13" s="22">
        <f t="shared" si="1"/>
        <v>145911.10836219694</v>
      </c>
      <c r="P13" s="2">
        <f t="shared" si="2"/>
        <v>0.17000000000000171</v>
      </c>
      <c r="Q13" s="24">
        <f t="shared" si="3"/>
        <v>0.10147500000000001</v>
      </c>
      <c r="R13" s="24">
        <f t="shared" si="4"/>
        <v>6.8525000000001696E-2</v>
      </c>
      <c r="S13" s="23">
        <f t="shared" si="9"/>
        <v>9956.6825000002464</v>
      </c>
      <c r="T13" s="3">
        <v>3500</v>
      </c>
      <c r="U13" s="3">
        <f t="shared" si="5"/>
        <v>141470</v>
      </c>
      <c r="V13" s="2">
        <v>0</v>
      </c>
      <c r="W13" s="2">
        <f t="shared" si="10"/>
        <v>0</v>
      </c>
      <c r="X13" s="25">
        <f t="shared" si="6"/>
        <v>149411.10836219694</v>
      </c>
      <c r="Y13" s="25">
        <f t="shared" si="7"/>
        <v>135964.24457384378</v>
      </c>
      <c r="Z13" s="25">
        <f t="shared" si="8"/>
        <v>135.96424457384379</v>
      </c>
      <c r="AA13" s="2" t="s">
        <v>38</v>
      </c>
      <c r="AB13" s="2" t="s">
        <v>68</v>
      </c>
      <c r="AC13" s="2">
        <v>8325</v>
      </c>
      <c r="AD13" s="2"/>
      <c r="AE13" s="4"/>
    </row>
    <row r="14" spans="1:31" x14ac:dyDescent="0.25">
      <c r="A14" s="1" t="s">
        <v>26</v>
      </c>
      <c r="B14" s="1" t="s">
        <v>27</v>
      </c>
      <c r="C14" s="2">
        <v>220426049</v>
      </c>
      <c r="D14" s="2" t="s">
        <v>28</v>
      </c>
      <c r="E14" s="2">
        <v>40</v>
      </c>
      <c r="F14" s="15">
        <v>192426006555</v>
      </c>
      <c r="G14" s="2" t="s">
        <v>69</v>
      </c>
      <c r="H14" s="2" t="s">
        <v>105</v>
      </c>
      <c r="I14" s="2" t="s">
        <v>106</v>
      </c>
      <c r="J14" s="2">
        <v>40.07</v>
      </c>
      <c r="K14" s="2" t="s">
        <v>107</v>
      </c>
      <c r="L14" s="22">
        <f t="shared" si="0"/>
        <v>6270955</v>
      </c>
      <c r="M14" s="2">
        <v>39.950000000000003</v>
      </c>
      <c r="N14" s="21">
        <v>43901.055</v>
      </c>
      <c r="O14" s="22">
        <f t="shared" si="1"/>
        <v>156970.08760951189</v>
      </c>
      <c r="P14" s="2">
        <f t="shared" si="2"/>
        <v>0.11999999999999744</v>
      </c>
      <c r="Q14" s="24">
        <f t="shared" si="3"/>
        <v>0.100175</v>
      </c>
      <c r="R14" s="24">
        <f t="shared" si="4"/>
        <v>1.9824999999997442E-2</v>
      </c>
      <c r="S14" s="23">
        <f t="shared" si="9"/>
        <v>3102.6124999995995</v>
      </c>
      <c r="T14" s="3">
        <v>0</v>
      </c>
      <c r="U14" s="3">
        <f t="shared" si="5"/>
        <v>0</v>
      </c>
      <c r="V14" s="2">
        <v>0</v>
      </c>
      <c r="W14" s="2">
        <f t="shared" si="10"/>
        <v>0</v>
      </c>
      <c r="X14" s="25">
        <f t="shared" si="6"/>
        <v>156970.08760951189</v>
      </c>
      <c r="Y14" s="25">
        <f t="shared" si="7"/>
        <v>142842.92256757838</v>
      </c>
      <c r="Z14" s="25">
        <f t="shared" si="8"/>
        <v>142.84292256757837</v>
      </c>
      <c r="AA14" s="2" t="s">
        <v>108</v>
      </c>
      <c r="AB14" s="2" t="s">
        <v>109</v>
      </c>
      <c r="AC14" s="2">
        <v>272</v>
      </c>
      <c r="AD14" s="2"/>
      <c r="AE14" s="4"/>
    </row>
    <row r="15" spans="1:31" x14ac:dyDescent="0.25">
      <c r="A15" s="1" t="s">
        <v>26</v>
      </c>
      <c r="B15" s="1" t="s">
        <v>27</v>
      </c>
      <c r="C15" s="2">
        <v>326226518</v>
      </c>
      <c r="D15" s="2" t="s">
        <v>28</v>
      </c>
      <c r="E15" s="2">
        <v>40</v>
      </c>
      <c r="F15" s="15">
        <v>190826003107</v>
      </c>
      <c r="G15" s="2" t="s">
        <v>75</v>
      </c>
      <c r="H15" s="2" t="s">
        <v>105</v>
      </c>
      <c r="I15" s="2" t="s">
        <v>51</v>
      </c>
      <c r="J15" s="2">
        <v>38.9</v>
      </c>
      <c r="K15" s="2" t="s">
        <v>52</v>
      </c>
      <c r="L15" s="22">
        <f t="shared" si="0"/>
        <v>5368200</v>
      </c>
      <c r="M15" s="2">
        <v>38.869999999999997</v>
      </c>
      <c r="N15" s="21">
        <v>42714.242999999995</v>
      </c>
      <c r="O15" s="22">
        <f t="shared" si="1"/>
        <v>138106.50887573964</v>
      </c>
      <c r="P15" s="2">
        <f t="shared" si="2"/>
        <v>3.0000000000001137E-2</v>
      </c>
      <c r="Q15" s="24">
        <f t="shared" si="3"/>
        <v>9.7250000000000003E-2</v>
      </c>
      <c r="R15" s="24">
        <f t="shared" si="4"/>
        <v>-6.7249999999998866E-2</v>
      </c>
      <c r="S15" s="23">
        <f t="shared" si="9"/>
        <v>0</v>
      </c>
      <c r="T15" s="3">
        <v>0</v>
      </c>
      <c r="U15" s="3">
        <f t="shared" si="5"/>
        <v>0</v>
      </c>
      <c r="V15" s="2">
        <v>0</v>
      </c>
      <c r="W15" s="2">
        <f t="shared" si="10"/>
        <v>0</v>
      </c>
      <c r="X15" s="25">
        <f t="shared" si="6"/>
        <v>138106.50887573964</v>
      </c>
      <c r="Y15" s="25">
        <f t="shared" si="7"/>
        <v>125677.04875397183</v>
      </c>
      <c r="Z15" s="25">
        <f t="shared" si="8"/>
        <v>125.67704875397183</v>
      </c>
      <c r="AA15" s="2" t="s">
        <v>108</v>
      </c>
      <c r="AB15" s="2" t="s">
        <v>110</v>
      </c>
      <c r="AC15" s="2">
        <v>156</v>
      </c>
      <c r="AD15" s="2"/>
      <c r="AE15" s="4"/>
    </row>
    <row r="16" spans="1:31" x14ac:dyDescent="0.25">
      <c r="A16" s="1" t="s">
        <v>26</v>
      </c>
      <c r="B16" s="1" t="s">
        <v>27</v>
      </c>
      <c r="C16" s="2">
        <v>220426049</v>
      </c>
      <c r="D16" s="2" t="s">
        <v>28</v>
      </c>
      <c r="E16" s="2">
        <v>40</v>
      </c>
      <c r="F16" s="15">
        <v>192426008894</v>
      </c>
      <c r="G16" s="2" t="s">
        <v>93</v>
      </c>
      <c r="H16" s="2" t="s">
        <v>111</v>
      </c>
      <c r="I16" s="2" t="s">
        <v>106</v>
      </c>
      <c r="J16" s="2">
        <v>39.11</v>
      </c>
      <c r="K16" s="2" t="s">
        <v>107</v>
      </c>
      <c r="L16" s="22">
        <f t="shared" si="0"/>
        <v>6120715</v>
      </c>
      <c r="M16" s="2">
        <v>39.01</v>
      </c>
      <c r="N16" s="21">
        <v>42868.089</v>
      </c>
      <c r="O16" s="22">
        <f t="shared" si="1"/>
        <v>156901.1791848244</v>
      </c>
      <c r="P16" s="2">
        <f t="shared" si="2"/>
        <v>0.10000000000000142</v>
      </c>
      <c r="Q16" s="24">
        <f t="shared" si="3"/>
        <v>9.7775000000000001E-2</v>
      </c>
      <c r="R16" s="24">
        <f t="shared" si="4"/>
        <v>2.2250000000014203E-3</v>
      </c>
      <c r="S16" s="23">
        <f t="shared" si="9"/>
        <v>348.21250000022229</v>
      </c>
      <c r="T16" s="3">
        <v>0</v>
      </c>
      <c r="U16" s="3">
        <f t="shared" si="5"/>
        <v>0</v>
      </c>
      <c r="V16" s="2">
        <v>0</v>
      </c>
      <c r="W16" s="2">
        <f t="shared" si="10"/>
        <v>0</v>
      </c>
      <c r="X16" s="25">
        <f t="shared" si="6"/>
        <v>156901.1791848244</v>
      </c>
      <c r="Y16" s="25">
        <f t="shared" si="7"/>
        <v>142780.21583840606</v>
      </c>
      <c r="Z16" s="25">
        <f t="shared" si="8"/>
        <v>142.78021583840606</v>
      </c>
      <c r="AA16" s="2" t="s">
        <v>108</v>
      </c>
      <c r="AB16" s="2" t="s">
        <v>112</v>
      </c>
      <c r="AC16" s="2">
        <v>275</v>
      </c>
      <c r="AD16" s="2"/>
      <c r="AE16" s="4"/>
    </row>
    <row r="17" spans="1:31" x14ac:dyDescent="0.25">
      <c r="A17" s="1" t="s">
        <v>26</v>
      </c>
      <c r="B17" s="1" t="s">
        <v>27</v>
      </c>
      <c r="C17" s="2">
        <v>326226518</v>
      </c>
      <c r="D17" s="2" t="s">
        <v>28</v>
      </c>
      <c r="E17" s="2">
        <v>40</v>
      </c>
      <c r="F17" s="15">
        <v>190826003338</v>
      </c>
      <c r="G17" s="2" t="s">
        <v>88</v>
      </c>
      <c r="H17" s="2" t="s">
        <v>113</v>
      </c>
      <c r="I17" s="2" t="s">
        <v>51</v>
      </c>
      <c r="J17" s="2">
        <v>38.92</v>
      </c>
      <c r="K17" s="2" t="s">
        <v>52</v>
      </c>
      <c r="L17" s="22">
        <f t="shared" si="0"/>
        <v>5370960</v>
      </c>
      <c r="M17" s="2">
        <v>38.92</v>
      </c>
      <c r="N17" s="21">
        <v>42769.188000000002</v>
      </c>
      <c r="O17" s="22">
        <f t="shared" si="1"/>
        <v>138000</v>
      </c>
      <c r="P17" s="2">
        <f t="shared" si="2"/>
        <v>0</v>
      </c>
      <c r="Q17" s="24">
        <f t="shared" si="3"/>
        <v>9.7300000000000011E-2</v>
      </c>
      <c r="R17" s="24">
        <f t="shared" si="4"/>
        <v>-9.7300000000000011E-2</v>
      </c>
      <c r="S17" s="23">
        <f t="shared" si="9"/>
        <v>0</v>
      </c>
      <c r="T17" s="3">
        <v>0</v>
      </c>
      <c r="U17" s="3">
        <f t="shared" si="5"/>
        <v>0</v>
      </c>
      <c r="V17" s="2">
        <v>0</v>
      </c>
      <c r="W17" s="2">
        <f t="shared" si="10"/>
        <v>0</v>
      </c>
      <c r="X17" s="25">
        <f t="shared" si="6"/>
        <v>138000</v>
      </c>
      <c r="Y17" s="25">
        <f t="shared" si="7"/>
        <v>125580.12558012558</v>
      </c>
      <c r="Z17" s="25">
        <f t="shared" si="8"/>
        <v>125.58012558012558</v>
      </c>
      <c r="AA17" s="2" t="s">
        <v>53</v>
      </c>
      <c r="AB17" s="2" t="s">
        <v>114</v>
      </c>
      <c r="AC17" s="2">
        <v>7161</v>
      </c>
      <c r="AD17" s="2"/>
      <c r="AE17" s="4"/>
    </row>
    <row r="18" spans="1:31" x14ac:dyDescent="0.25">
      <c r="A18" s="1" t="s">
        <v>26</v>
      </c>
      <c r="B18" s="1" t="s">
        <v>27</v>
      </c>
      <c r="C18" s="2">
        <v>220426103</v>
      </c>
      <c r="D18" s="2" t="s">
        <v>28</v>
      </c>
      <c r="E18" s="2">
        <v>40</v>
      </c>
      <c r="F18" s="15">
        <v>190826004185</v>
      </c>
      <c r="G18" s="2" t="s">
        <v>115</v>
      </c>
      <c r="H18" s="2" t="s">
        <v>113</v>
      </c>
      <c r="I18" s="2" t="s">
        <v>51</v>
      </c>
      <c r="J18" s="2">
        <v>38.799999999999997</v>
      </c>
      <c r="K18" s="2" t="s">
        <v>116</v>
      </c>
      <c r="L18" s="22">
        <f t="shared" si="0"/>
        <v>5742400</v>
      </c>
      <c r="M18" s="2">
        <v>38.74</v>
      </c>
      <c r="N18" s="21">
        <v>42571.386000000006</v>
      </c>
      <c r="O18" s="22">
        <f t="shared" si="1"/>
        <v>148229.22044398554</v>
      </c>
      <c r="P18" s="2">
        <f t="shared" si="2"/>
        <v>5.9999999999995168E-2</v>
      </c>
      <c r="Q18" s="24">
        <f t="shared" si="3"/>
        <v>9.6999999999999989E-2</v>
      </c>
      <c r="R18" s="24">
        <f t="shared" si="4"/>
        <v>-3.7000000000004821E-2</v>
      </c>
      <c r="S18" s="23">
        <f t="shared" si="9"/>
        <v>0</v>
      </c>
      <c r="T18" s="3">
        <v>0</v>
      </c>
      <c r="U18" s="3">
        <f t="shared" si="5"/>
        <v>0</v>
      </c>
      <c r="V18" s="2">
        <v>0</v>
      </c>
      <c r="W18" s="2">
        <f t="shared" si="10"/>
        <v>0</v>
      </c>
      <c r="X18" s="25">
        <f t="shared" si="6"/>
        <v>148229.22044398554</v>
      </c>
      <c r="Y18" s="25">
        <f t="shared" si="7"/>
        <v>134888.72549275233</v>
      </c>
      <c r="Z18" s="25">
        <f t="shared" si="8"/>
        <v>134.88872549275234</v>
      </c>
      <c r="AA18" s="2" t="s">
        <v>108</v>
      </c>
      <c r="AB18" s="2" t="s">
        <v>117</v>
      </c>
      <c r="AC18" s="2">
        <v>159</v>
      </c>
      <c r="AD18" s="2"/>
      <c r="AE18" s="4"/>
    </row>
    <row r="19" spans="1:31" x14ac:dyDescent="0.25">
      <c r="A19" s="1" t="s">
        <v>26</v>
      </c>
      <c r="B19" s="1" t="s">
        <v>61</v>
      </c>
      <c r="C19" s="2">
        <v>326226585</v>
      </c>
      <c r="D19" s="2" t="s">
        <v>36</v>
      </c>
      <c r="E19" s="2">
        <v>42</v>
      </c>
      <c r="F19" s="15" t="s">
        <v>120</v>
      </c>
      <c r="G19" s="2" t="s">
        <v>100</v>
      </c>
      <c r="H19" s="2" t="s">
        <v>118</v>
      </c>
      <c r="I19" s="2" t="s">
        <v>64</v>
      </c>
      <c r="J19" s="2">
        <v>41.784999999999997</v>
      </c>
      <c r="K19" s="2" t="s">
        <v>121</v>
      </c>
      <c r="L19" s="22">
        <f t="shared" si="0"/>
        <v>6894524.9999999991</v>
      </c>
      <c r="M19" s="2">
        <v>41.41</v>
      </c>
      <c r="N19" s="21">
        <v>45505.449000000001</v>
      </c>
      <c r="O19" s="22">
        <f t="shared" si="1"/>
        <v>166494.20429847861</v>
      </c>
      <c r="P19" s="2">
        <f t="shared" si="2"/>
        <v>0.375</v>
      </c>
      <c r="Q19" s="24">
        <f t="shared" si="3"/>
        <v>0.1044625</v>
      </c>
      <c r="R19" s="24">
        <f t="shared" si="4"/>
        <v>0.27053749999999999</v>
      </c>
      <c r="S19" s="23">
        <f t="shared" si="9"/>
        <v>44638.6875</v>
      </c>
      <c r="T19" s="3">
        <v>4000</v>
      </c>
      <c r="U19" s="3">
        <f t="shared" si="5"/>
        <v>165640</v>
      </c>
      <c r="V19" s="2">
        <v>0</v>
      </c>
      <c r="W19" s="2">
        <f t="shared" si="10"/>
        <v>0</v>
      </c>
      <c r="X19" s="25">
        <f t="shared" si="6"/>
        <v>170494.20429847861</v>
      </c>
      <c r="Y19" s="25">
        <f t="shared" si="7"/>
        <v>155149.88106149659</v>
      </c>
      <c r="Z19" s="25">
        <f t="shared" si="8"/>
        <v>155.14988106149659</v>
      </c>
      <c r="AA19" s="2" t="s">
        <v>38</v>
      </c>
      <c r="AB19" s="2" t="s">
        <v>92</v>
      </c>
      <c r="AC19" s="2">
        <v>8091</v>
      </c>
      <c r="AD19" s="2"/>
      <c r="AE19" s="4"/>
    </row>
    <row r="20" spans="1:31" x14ac:dyDescent="0.25">
      <c r="A20" s="1" t="s">
        <v>26</v>
      </c>
      <c r="B20" s="1" t="s">
        <v>35</v>
      </c>
      <c r="C20" s="2">
        <v>220426087</v>
      </c>
      <c r="D20" s="2" t="s">
        <v>36</v>
      </c>
      <c r="E20" s="2">
        <v>42</v>
      </c>
      <c r="F20" s="15" t="s">
        <v>122</v>
      </c>
      <c r="G20" s="2" t="s">
        <v>93</v>
      </c>
      <c r="H20" s="2" t="s">
        <v>123</v>
      </c>
      <c r="I20" s="2" t="s">
        <v>89</v>
      </c>
      <c r="J20" s="2">
        <v>40.26</v>
      </c>
      <c r="K20" s="2" t="s">
        <v>104</v>
      </c>
      <c r="L20" s="22">
        <f t="shared" si="0"/>
        <v>5849778</v>
      </c>
      <c r="M20" s="2">
        <v>40.1</v>
      </c>
      <c r="N20" s="21">
        <v>44065.890000000007</v>
      </c>
      <c r="O20" s="22">
        <f t="shared" si="1"/>
        <v>145879.75062344139</v>
      </c>
      <c r="P20" s="2">
        <f t="shared" si="2"/>
        <v>0.15999999999999659</v>
      </c>
      <c r="Q20" s="24">
        <f t="shared" si="3"/>
        <v>0.10065</v>
      </c>
      <c r="R20" s="24">
        <f t="shared" si="4"/>
        <v>5.9349999999996586E-2</v>
      </c>
      <c r="S20" s="23">
        <f t="shared" si="9"/>
        <v>8623.5549999995037</v>
      </c>
      <c r="T20" s="3">
        <v>3500</v>
      </c>
      <c r="U20" s="3">
        <f t="shared" si="5"/>
        <v>140350</v>
      </c>
      <c r="V20" s="2">
        <v>0</v>
      </c>
      <c r="W20" s="2">
        <f t="shared" si="10"/>
        <v>0</v>
      </c>
      <c r="X20" s="25">
        <f t="shared" si="6"/>
        <v>149379.75062344139</v>
      </c>
      <c r="Y20" s="25">
        <f t="shared" si="7"/>
        <v>135935.70900304065</v>
      </c>
      <c r="Z20" s="25">
        <f t="shared" si="8"/>
        <v>135.93570900304064</v>
      </c>
      <c r="AA20" s="2" t="s">
        <v>38</v>
      </c>
      <c r="AB20" s="2" t="s">
        <v>43</v>
      </c>
      <c r="AC20" s="2">
        <v>8328</v>
      </c>
      <c r="AD20" s="2"/>
      <c r="AE20" s="4"/>
    </row>
    <row r="21" spans="1:31" x14ac:dyDescent="0.25">
      <c r="A21" s="1" t="s">
        <v>26</v>
      </c>
      <c r="B21" s="1" t="s">
        <v>61</v>
      </c>
      <c r="C21" s="2">
        <v>220426141</v>
      </c>
      <c r="D21" s="2" t="s">
        <v>36</v>
      </c>
      <c r="E21" s="2">
        <v>42</v>
      </c>
      <c r="F21" s="15" t="s">
        <v>124</v>
      </c>
      <c r="G21" s="2" t="s">
        <v>125</v>
      </c>
      <c r="H21" s="2" t="s">
        <v>126</v>
      </c>
      <c r="I21" s="2" t="s">
        <v>64</v>
      </c>
      <c r="J21" s="2">
        <v>40.314999999999998</v>
      </c>
      <c r="K21" s="2" t="s">
        <v>127</v>
      </c>
      <c r="L21" s="22">
        <f t="shared" si="0"/>
        <v>6450400</v>
      </c>
      <c r="M21" s="2">
        <v>39.94</v>
      </c>
      <c r="N21" s="21">
        <v>43890.065999999999</v>
      </c>
      <c r="O21" s="22">
        <f t="shared" si="1"/>
        <v>161502.25338007012</v>
      </c>
      <c r="P21" s="2">
        <f t="shared" si="2"/>
        <v>0.375</v>
      </c>
      <c r="Q21" s="24">
        <f t="shared" si="3"/>
        <v>0.1007875</v>
      </c>
      <c r="R21" s="24">
        <f t="shared" si="4"/>
        <v>0.27421249999999997</v>
      </c>
      <c r="S21" s="23">
        <f t="shared" si="9"/>
        <v>43873.999999999993</v>
      </c>
      <c r="T21" s="3">
        <v>4000</v>
      </c>
      <c r="U21" s="3">
        <f t="shared" si="5"/>
        <v>159760</v>
      </c>
      <c r="V21" s="2">
        <v>0</v>
      </c>
      <c r="W21" s="2">
        <f t="shared" si="10"/>
        <v>0</v>
      </c>
      <c r="X21" s="25">
        <f t="shared" si="6"/>
        <v>165502.25338007012</v>
      </c>
      <c r="Y21" s="25">
        <f t="shared" si="7"/>
        <v>150607.20118306499</v>
      </c>
      <c r="Z21" s="25">
        <f t="shared" si="8"/>
        <v>150.60720118306497</v>
      </c>
      <c r="AA21" s="2" t="s">
        <v>38</v>
      </c>
      <c r="AB21" s="2" t="s">
        <v>48</v>
      </c>
      <c r="AC21" s="2">
        <v>8308</v>
      </c>
      <c r="AD21" s="2">
        <v>2026056539</v>
      </c>
      <c r="AE21" s="4"/>
    </row>
    <row r="22" spans="1:31" x14ac:dyDescent="0.25">
      <c r="A22" s="1" t="s">
        <v>26</v>
      </c>
      <c r="B22" s="1" t="s">
        <v>35</v>
      </c>
      <c r="C22" s="2">
        <v>220426087</v>
      </c>
      <c r="D22" s="2" t="s">
        <v>36</v>
      </c>
      <c r="E22" s="2">
        <v>42</v>
      </c>
      <c r="F22" s="15" t="s">
        <v>128</v>
      </c>
      <c r="G22" s="2" t="s">
        <v>103</v>
      </c>
      <c r="H22" s="2" t="s">
        <v>129</v>
      </c>
      <c r="I22" s="2" t="s">
        <v>89</v>
      </c>
      <c r="J22" s="2">
        <v>41.74</v>
      </c>
      <c r="K22" s="2" t="s">
        <v>104</v>
      </c>
      <c r="L22" s="22">
        <f t="shared" si="0"/>
        <v>6064822</v>
      </c>
      <c r="M22" s="2">
        <v>41.61</v>
      </c>
      <c r="N22" s="21">
        <v>45725.228999999999</v>
      </c>
      <c r="O22" s="22">
        <f t="shared" si="1"/>
        <v>145753.95337659217</v>
      </c>
      <c r="P22" s="2">
        <f t="shared" si="2"/>
        <v>0.13000000000000256</v>
      </c>
      <c r="Q22" s="24">
        <f t="shared" si="3"/>
        <v>0.10435000000000001</v>
      </c>
      <c r="R22" s="24">
        <f t="shared" si="4"/>
        <v>2.5650000000002546E-2</v>
      </c>
      <c r="S22" s="23">
        <f t="shared" si="9"/>
        <v>3726.9450000003699</v>
      </c>
      <c r="T22" s="3">
        <v>3500</v>
      </c>
      <c r="U22" s="3">
        <f t="shared" si="5"/>
        <v>145635</v>
      </c>
      <c r="V22" s="2">
        <v>0</v>
      </c>
      <c r="W22" s="2">
        <f t="shared" si="10"/>
        <v>0</v>
      </c>
      <c r="X22" s="25">
        <f t="shared" si="6"/>
        <v>149253.95337659217</v>
      </c>
      <c r="Y22" s="25">
        <f t="shared" si="7"/>
        <v>135821.23339393226</v>
      </c>
      <c r="Z22" s="25">
        <f t="shared" si="8"/>
        <v>135.82123339393226</v>
      </c>
      <c r="AA22" s="2" t="s">
        <v>38</v>
      </c>
      <c r="AB22" s="2" t="s">
        <v>84</v>
      </c>
      <c r="AC22" s="2">
        <v>8401</v>
      </c>
      <c r="AD22" s="2">
        <v>2026056558</v>
      </c>
      <c r="AE22" s="4"/>
    </row>
    <row r="23" spans="1:31" x14ac:dyDescent="0.25">
      <c r="A23" s="1" t="s">
        <v>26</v>
      </c>
      <c r="B23" s="1" t="s">
        <v>35</v>
      </c>
      <c r="C23" s="2">
        <v>220426113</v>
      </c>
      <c r="D23" s="2" t="s">
        <v>36</v>
      </c>
      <c r="E23" s="2">
        <v>42</v>
      </c>
      <c r="F23" s="15" t="s">
        <v>130</v>
      </c>
      <c r="G23" s="2" t="s">
        <v>131</v>
      </c>
      <c r="H23" s="2" t="s">
        <v>129</v>
      </c>
      <c r="I23" s="2" t="s">
        <v>89</v>
      </c>
      <c r="J23" s="2">
        <v>41.73</v>
      </c>
      <c r="K23" s="2" t="s">
        <v>132</v>
      </c>
      <c r="L23" s="22">
        <f t="shared" si="0"/>
        <v>6050850</v>
      </c>
      <c r="M23" s="2">
        <v>41.66</v>
      </c>
      <c r="N23" s="21">
        <v>45780.173999999992</v>
      </c>
      <c r="O23" s="22">
        <f t="shared" si="1"/>
        <v>145243.63898223717</v>
      </c>
      <c r="P23" s="2">
        <f t="shared" si="2"/>
        <v>7.0000000000000284E-2</v>
      </c>
      <c r="Q23" s="24">
        <f t="shared" si="3"/>
        <v>0.104325</v>
      </c>
      <c r="R23" s="24">
        <f t="shared" si="4"/>
        <v>-3.4324999999999717E-2</v>
      </c>
      <c r="S23" s="23">
        <f t="shared" si="9"/>
        <v>0</v>
      </c>
      <c r="T23" s="3">
        <v>3500</v>
      </c>
      <c r="U23" s="3">
        <f t="shared" si="5"/>
        <v>145810</v>
      </c>
      <c r="V23" s="2">
        <v>0</v>
      </c>
      <c r="W23" s="2">
        <f t="shared" si="10"/>
        <v>0</v>
      </c>
      <c r="X23" s="25">
        <f t="shared" si="6"/>
        <v>148743.63898223717</v>
      </c>
      <c r="Y23" s="25">
        <f t="shared" si="7"/>
        <v>135356.84683068265</v>
      </c>
      <c r="Z23" s="25">
        <f t="shared" si="8"/>
        <v>135.35684683068266</v>
      </c>
      <c r="AA23" s="2" t="s">
        <v>38</v>
      </c>
      <c r="AB23" s="2" t="s">
        <v>133</v>
      </c>
      <c r="AC23" s="2">
        <v>8404</v>
      </c>
      <c r="AD23" s="2">
        <v>2026056557</v>
      </c>
      <c r="AE23" s="4"/>
    </row>
    <row r="24" spans="1:31" x14ac:dyDescent="0.25">
      <c r="A24" s="1" t="s">
        <v>26</v>
      </c>
      <c r="B24" s="1" t="s">
        <v>35</v>
      </c>
      <c r="C24" s="2">
        <v>220426113</v>
      </c>
      <c r="D24" s="2" t="s">
        <v>36</v>
      </c>
      <c r="E24" s="2">
        <v>42</v>
      </c>
      <c r="F24" s="15" t="s">
        <v>134</v>
      </c>
      <c r="G24" s="2" t="s">
        <v>131</v>
      </c>
      <c r="H24" s="2" t="s">
        <v>129</v>
      </c>
      <c r="I24" s="2" t="s">
        <v>89</v>
      </c>
      <c r="J24" s="2">
        <v>41.56</v>
      </c>
      <c r="K24" s="2" t="s">
        <v>132</v>
      </c>
      <c r="L24" s="22">
        <f t="shared" si="0"/>
        <v>6026200</v>
      </c>
      <c r="M24" s="2">
        <v>41.4</v>
      </c>
      <c r="N24" s="21">
        <v>45494.46</v>
      </c>
      <c r="O24" s="22">
        <f t="shared" si="1"/>
        <v>145560.38647342994</v>
      </c>
      <c r="P24" s="2">
        <f t="shared" si="2"/>
        <v>0.16000000000000369</v>
      </c>
      <c r="Q24" s="24">
        <f t="shared" si="3"/>
        <v>0.10390000000000001</v>
      </c>
      <c r="R24" s="24">
        <f t="shared" si="4"/>
        <v>5.6100000000003689E-2</v>
      </c>
      <c r="S24" s="23">
        <f t="shared" si="9"/>
        <v>8134.5000000005348</v>
      </c>
      <c r="T24" s="3">
        <v>3500</v>
      </c>
      <c r="U24" s="3">
        <f t="shared" si="5"/>
        <v>144900</v>
      </c>
      <c r="V24" s="2">
        <v>0</v>
      </c>
      <c r="W24" s="2">
        <f t="shared" si="10"/>
        <v>0</v>
      </c>
      <c r="X24" s="25">
        <f t="shared" si="6"/>
        <v>149060.38647342994</v>
      </c>
      <c r="Y24" s="25">
        <f t="shared" si="7"/>
        <v>135645.08733590858</v>
      </c>
      <c r="Z24" s="25">
        <f t="shared" si="8"/>
        <v>135.64508733590858</v>
      </c>
      <c r="AA24" s="2" t="s">
        <v>38</v>
      </c>
      <c r="AB24" s="2" t="s">
        <v>42</v>
      </c>
      <c r="AC24" s="2">
        <v>8403</v>
      </c>
      <c r="AD24" s="2">
        <v>2026056559</v>
      </c>
      <c r="AE24" s="4"/>
    </row>
    <row r="25" spans="1:31" x14ac:dyDescent="0.25">
      <c r="A25" s="1" t="s">
        <v>26</v>
      </c>
      <c r="B25" s="1" t="s">
        <v>27</v>
      </c>
      <c r="C25" s="2">
        <v>220526031</v>
      </c>
      <c r="D25" s="2" t="s">
        <v>28</v>
      </c>
      <c r="E25" s="2">
        <v>39</v>
      </c>
      <c r="F25" s="15">
        <v>192426014996</v>
      </c>
      <c r="G25" s="2" t="s">
        <v>137</v>
      </c>
      <c r="H25" s="2" t="s">
        <v>138</v>
      </c>
      <c r="I25" s="2" t="s">
        <v>106</v>
      </c>
      <c r="J25" s="2">
        <v>38.979999999999997</v>
      </c>
      <c r="K25" s="2" t="s">
        <v>139</v>
      </c>
      <c r="L25" s="22">
        <f t="shared" si="0"/>
        <v>5827509.9999999991</v>
      </c>
      <c r="M25" s="2">
        <v>38.880000000000003</v>
      </c>
      <c r="N25" s="21">
        <v>42725.232000000004</v>
      </c>
      <c r="O25" s="22">
        <f t="shared" si="1"/>
        <v>149884.51646090532</v>
      </c>
      <c r="P25" s="2">
        <f t="shared" si="2"/>
        <v>9.9999999999994316E-2</v>
      </c>
      <c r="Q25" s="24">
        <f t="shared" si="3"/>
        <v>9.7449999999999995E-2</v>
      </c>
      <c r="R25" s="24">
        <f t="shared" si="4"/>
        <v>2.5499999999943207E-3</v>
      </c>
      <c r="S25" s="23">
        <f t="shared" si="9"/>
        <v>381.22499999915095</v>
      </c>
      <c r="T25" s="3">
        <v>0</v>
      </c>
      <c r="U25" s="3">
        <f t="shared" si="5"/>
        <v>0</v>
      </c>
      <c r="V25" s="2">
        <v>0</v>
      </c>
      <c r="W25" s="2">
        <f t="shared" si="10"/>
        <v>0</v>
      </c>
      <c r="X25" s="25">
        <f t="shared" si="6"/>
        <v>149884.51646090532</v>
      </c>
      <c r="Y25" s="25">
        <f t="shared" si="7"/>
        <v>136395.04637447023</v>
      </c>
      <c r="Z25" s="25">
        <f t="shared" si="8"/>
        <v>136.39504637447024</v>
      </c>
      <c r="AA25" s="2" t="s">
        <v>53</v>
      </c>
      <c r="AB25" s="2" t="s">
        <v>114</v>
      </c>
      <c r="AC25" s="2">
        <v>14038</v>
      </c>
      <c r="AD25" s="2"/>
      <c r="AE25" s="4"/>
    </row>
    <row r="26" spans="1:31" x14ac:dyDescent="0.25">
      <c r="A26" s="1" t="s">
        <v>26</v>
      </c>
      <c r="B26" s="1" t="s">
        <v>27</v>
      </c>
      <c r="C26" s="2">
        <v>220526031</v>
      </c>
      <c r="D26" s="2" t="s">
        <v>28</v>
      </c>
      <c r="E26" s="2">
        <v>40</v>
      </c>
      <c r="F26" s="15">
        <v>192426015013</v>
      </c>
      <c r="G26" s="2" t="s">
        <v>137</v>
      </c>
      <c r="H26" s="2" t="s">
        <v>138</v>
      </c>
      <c r="I26" s="2" t="s">
        <v>106</v>
      </c>
      <c r="J26" s="2">
        <v>39.119999999999997</v>
      </c>
      <c r="K26" s="2" t="s">
        <v>139</v>
      </c>
      <c r="L26" s="22">
        <f t="shared" si="0"/>
        <v>5848440</v>
      </c>
      <c r="M26" s="2">
        <v>38.99</v>
      </c>
      <c r="N26" s="21">
        <v>42846.110999999997</v>
      </c>
      <c r="O26" s="22">
        <f t="shared" si="1"/>
        <v>149998.46114388303</v>
      </c>
      <c r="P26" s="2">
        <f t="shared" si="2"/>
        <v>0.12999999999999545</v>
      </c>
      <c r="Q26" s="24">
        <f t="shared" si="3"/>
        <v>9.7799999999999998E-2</v>
      </c>
      <c r="R26" s="24">
        <f t="shared" si="4"/>
        <v>3.2199999999995454E-2</v>
      </c>
      <c r="S26" s="23">
        <f t="shared" si="9"/>
        <v>4813.8999999993202</v>
      </c>
      <c r="T26" s="3">
        <v>0</v>
      </c>
      <c r="U26" s="3">
        <f t="shared" si="5"/>
        <v>0</v>
      </c>
      <c r="V26" s="2">
        <v>0</v>
      </c>
      <c r="W26" s="2">
        <f t="shared" si="10"/>
        <v>0</v>
      </c>
      <c r="X26" s="25">
        <f t="shared" si="6"/>
        <v>149998.46114388303</v>
      </c>
      <c r="Y26" s="25">
        <f t="shared" si="7"/>
        <v>136498.73613966969</v>
      </c>
      <c r="Z26" s="25">
        <f t="shared" si="8"/>
        <v>136.49873613966969</v>
      </c>
      <c r="AA26" s="2" t="s">
        <v>53</v>
      </c>
      <c r="AB26" s="2" t="s">
        <v>140</v>
      </c>
      <c r="AC26" s="2">
        <v>14037</v>
      </c>
      <c r="AD26" s="2"/>
      <c r="AE26" s="4"/>
    </row>
    <row r="27" spans="1:31" x14ac:dyDescent="0.25">
      <c r="A27" s="1" t="s">
        <v>26</v>
      </c>
      <c r="B27" s="1" t="s">
        <v>27</v>
      </c>
      <c r="C27" s="2">
        <v>220526031</v>
      </c>
      <c r="D27" s="2" t="s">
        <v>28</v>
      </c>
      <c r="E27" s="2">
        <v>40</v>
      </c>
      <c r="F27" s="15">
        <v>192426016305</v>
      </c>
      <c r="G27" s="2" t="s">
        <v>143</v>
      </c>
      <c r="H27" s="2" t="s">
        <v>144</v>
      </c>
      <c r="I27" s="2" t="s">
        <v>106</v>
      </c>
      <c r="J27" s="2">
        <v>39.090000000000003</v>
      </c>
      <c r="K27" s="2" t="s">
        <v>139</v>
      </c>
      <c r="L27" s="22">
        <f t="shared" si="0"/>
        <v>5843955.0000000009</v>
      </c>
      <c r="M27" s="2">
        <v>38.97</v>
      </c>
      <c r="N27" s="21">
        <v>42824.132999999994</v>
      </c>
      <c r="O27" s="22">
        <f t="shared" si="1"/>
        <v>149960.35411855276</v>
      </c>
      <c r="P27" s="2">
        <f t="shared" si="2"/>
        <v>0.12000000000000455</v>
      </c>
      <c r="Q27" s="24">
        <f t="shared" si="3"/>
        <v>9.7725000000000006E-2</v>
      </c>
      <c r="R27" s="24">
        <f t="shared" si="4"/>
        <v>2.2275000000004541E-2</v>
      </c>
      <c r="S27" s="23">
        <f t="shared" si="9"/>
        <v>3330.1125000006791</v>
      </c>
      <c r="T27" s="3">
        <v>0</v>
      </c>
      <c r="U27" s="3">
        <f t="shared" si="5"/>
        <v>0</v>
      </c>
      <c r="V27" s="2">
        <v>0</v>
      </c>
      <c r="W27" s="2">
        <f t="shared" si="10"/>
        <v>0</v>
      </c>
      <c r="X27" s="25">
        <f t="shared" si="6"/>
        <v>149960.35411855276</v>
      </c>
      <c r="Y27" s="25">
        <f t="shared" si="7"/>
        <v>136464.05871194173</v>
      </c>
      <c r="Z27" s="25">
        <f t="shared" si="8"/>
        <v>136.46405871194173</v>
      </c>
      <c r="AA27" s="2" t="s">
        <v>108</v>
      </c>
      <c r="AB27" s="2" t="s">
        <v>145</v>
      </c>
      <c r="AC27" s="2">
        <v>294</v>
      </c>
      <c r="AD27" s="2"/>
      <c r="AE27" s="4"/>
    </row>
    <row r="28" spans="1:31" x14ac:dyDescent="0.25">
      <c r="A28" s="1" t="s">
        <v>26</v>
      </c>
      <c r="B28" s="1" t="s">
        <v>27</v>
      </c>
      <c r="C28" s="2">
        <v>220526031</v>
      </c>
      <c r="D28" s="2" t="s">
        <v>28</v>
      </c>
      <c r="E28" s="2">
        <v>40</v>
      </c>
      <c r="F28" s="15">
        <v>192426017918</v>
      </c>
      <c r="G28" s="2" t="s">
        <v>141</v>
      </c>
      <c r="H28" s="2" t="s">
        <v>146</v>
      </c>
      <c r="I28" s="2" t="s">
        <v>106</v>
      </c>
      <c r="J28" s="2">
        <v>39.049999999999997</v>
      </c>
      <c r="K28" s="2" t="s">
        <v>139</v>
      </c>
      <c r="L28" s="22">
        <f t="shared" si="0"/>
        <v>5837975</v>
      </c>
      <c r="M28" s="2">
        <v>38.93</v>
      </c>
      <c r="N28" s="21">
        <v>42780.177000000003</v>
      </c>
      <c r="O28" s="22">
        <f t="shared" si="1"/>
        <v>149960.82712561006</v>
      </c>
      <c r="P28" s="2">
        <f t="shared" si="2"/>
        <v>0.11999999999999744</v>
      </c>
      <c r="Q28" s="24">
        <f t="shared" si="3"/>
        <v>9.762499999999999E-2</v>
      </c>
      <c r="R28" s="24">
        <f t="shared" si="4"/>
        <v>2.2374999999997452E-2</v>
      </c>
      <c r="S28" s="23">
        <f t="shared" si="9"/>
        <v>3345.0624999996189</v>
      </c>
      <c r="T28" s="3">
        <v>0</v>
      </c>
      <c r="U28" s="3">
        <f t="shared" si="5"/>
        <v>0</v>
      </c>
      <c r="V28" s="2">
        <v>0</v>
      </c>
      <c r="W28" s="2">
        <f t="shared" si="10"/>
        <v>0</v>
      </c>
      <c r="X28" s="25">
        <f t="shared" si="6"/>
        <v>149960.82712561006</v>
      </c>
      <c r="Y28" s="25">
        <f t="shared" si="7"/>
        <v>136464.4891487943</v>
      </c>
      <c r="Z28" s="25">
        <f t="shared" si="8"/>
        <v>136.46448914879429</v>
      </c>
      <c r="AA28" s="2" t="s">
        <v>108</v>
      </c>
      <c r="AB28" s="2" t="s">
        <v>147</v>
      </c>
      <c r="AC28" s="2">
        <v>296</v>
      </c>
      <c r="AD28" s="2"/>
      <c r="AE28" s="4"/>
    </row>
    <row r="29" spans="1:31" x14ac:dyDescent="0.25">
      <c r="A29" s="1" t="s">
        <v>26</v>
      </c>
      <c r="B29" s="1" t="s">
        <v>61</v>
      </c>
      <c r="C29" s="2">
        <v>220526038</v>
      </c>
      <c r="D29" s="2" t="s">
        <v>36</v>
      </c>
      <c r="E29" s="2">
        <v>42</v>
      </c>
      <c r="F29" s="15" t="s">
        <v>148</v>
      </c>
      <c r="G29" s="2" t="s">
        <v>135</v>
      </c>
      <c r="H29" s="2" t="s">
        <v>146</v>
      </c>
      <c r="I29" s="2" t="s">
        <v>64</v>
      </c>
      <c r="J29" s="2">
        <v>41.414999999999999</v>
      </c>
      <c r="K29" s="2" t="s">
        <v>149</v>
      </c>
      <c r="L29" s="22">
        <f t="shared" si="0"/>
        <v>6543570</v>
      </c>
      <c r="M29" s="2">
        <v>41.07</v>
      </c>
      <c r="N29" s="21">
        <v>45131.822999999997</v>
      </c>
      <c r="O29" s="22">
        <f t="shared" si="1"/>
        <v>159327.24616508401</v>
      </c>
      <c r="P29" s="2">
        <f t="shared" si="2"/>
        <v>0.34499999999999886</v>
      </c>
      <c r="Q29" s="24">
        <f t="shared" si="3"/>
        <v>0.1035375</v>
      </c>
      <c r="R29" s="24">
        <f t="shared" si="4"/>
        <v>0.24146249999999886</v>
      </c>
      <c r="S29" s="23">
        <f t="shared" si="9"/>
        <v>38151.074999999822</v>
      </c>
      <c r="T29" s="3">
        <v>4000</v>
      </c>
      <c r="U29" s="3">
        <f t="shared" si="5"/>
        <v>164280</v>
      </c>
      <c r="V29" s="2">
        <v>0</v>
      </c>
      <c r="W29" s="2">
        <f t="shared" si="10"/>
        <v>0</v>
      </c>
      <c r="X29" s="25">
        <f t="shared" si="6"/>
        <v>163327.24616508401</v>
      </c>
      <c r="Y29" s="25">
        <f t="shared" si="7"/>
        <v>148627.9426381691</v>
      </c>
      <c r="Z29" s="25">
        <f t="shared" si="8"/>
        <v>148.62794263816909</v>
      </c>
      <c r="AA29" s="2" t="s">
        <v>38</v>
      </c>
      <c r="AB29" s="2" t="s">
        <v>46</v>
      </c>
      <c r="AC29" s="2">
        <v>8321</v>
      </c>
      <c r="AD29" s="2"/>
      <c r="AE29" s="4"/>
    </row>
    <row r="30" spans="1:31" x14ac:dyDescent="0.25">
      <c r="A30" s="1" t="s">
        <v>26</v>
      </c>
      <c r="B30" s="1" t="s">
        <v>85</v>
      </c>
      <c r="C30" s="2">
        <v>220426173</v>
      </c>
      <c r="D30" s="2" t="s">
        <v>36</v>
      </c>
      <c r="E30" s="2">
        <v>42</v>
      </c>
      <c r="F30" s="15" t="s">
        <v>150</v>
      </c>
      <c r="G30" s="2" t="s">
        <v>136</v>
      </c>
      <c r="H30" s="2" t="s">
        <v>151</v>
      </c>
      <c r="I30" s="2" t="s">
        <v>89</v>
      </c>
      <c r="J30" s="2">
        <v>41.75</v>
      </c>
      <c r="K30" s="2" t="s">
        <v>132</v>
      </c>
      <c r="L30" s="22">
        <f t="shared" si="0"/>
        <v>6053750</v>
      </c>
      <c r="M30" s="2">
        <v>41.71</v>
      </c>
      <c r="N30" s="21">
        <v>45835.118999999999</v>
      </c>
      <c r="O30" s="22">
        <f t="shared" si="1"/>
        <v>145139.05538240229</v>
      </c>
      <c r="P30" s="2">
        <f t="shared" si="2"/>
        <v>3.9999999999999147E-2</v>
      </c>
      <c r="Q30" s="24">
        <f t="shared" si="3"/>
        <v>0.104375</v>
      </c>
      <c r="R30" s="24">
        <f t="shared" si="4"/>
        <v>-6.4375000000000848E-2</v>
      </c>
      <c r="S30" s="23">
        <f t="shared" si="9"/>
        <v>0</v>
      </c>
      <c r="T30" s="3">
        <v>3100</v>
      </c>
      <c r="U30" s="3">
        <f t="shared" si="5"/>
        <v>129301</v>
      </c>
      <c r="V30" s="2">
        <v>0</v>
      </c>
      <c r="W30" s="2">
        <f t="shared" si="10"/>
        <v>0</v>
      </c>
      <c r="X30" s="25">
        <f t="shared" si="6"/>
        <v>148239.05538240229</v>
      </c>
      <c r="Y30" s="25">
        <f t="shared" si="7"/>
        <v>134897.67529566138</v>
      </c>
      <c r="Z30" s="25">
        <f t="shared" si="8"/>
        <v>134.89767529566137</v>
      </c>
      <c r="AA30" s="2" t="s">
        <v>38</v>
      </c>
      <c r="AB30" s="2" t="s">
        <v>152</v>
      </c>
      <c r="AC30" s="2">
        <v>8409</v>
      </c>
      <c r="AD30" s="2"/>
      <c r="AE30" s="4"/>
    </row>
    <row r="31" spans="1:31" x14ac:dyDescent="0.25">
      <c r="A31" s="1" t="s">
        <v>26</v>
      </c>
      <c r="B31" s="1" t="s">
        <v>27</v>
      </c>
      <c r="C31" s="2">
        <v>326226518</v>
      </c>
      <c r="D31" s="2" t="s">
        <v>28</v>
      </c>
      <c r="E31" s="2">
        <v>39</v>
      </c>
      <c r="F31" s="15">
        <v>190826007816</v>
      </c>
      <c r="G31" s="2" t="s">
        <v>141</v>
      </c>
      <c r="H31" s="2" t="s">
        <v>151</v>
      </c>
      <c r="I31" s="2" t="s">
        <v>89</v>
      </c>
      <c r="J31" s="2">
        <v>38.840000000000003</v>
      </c>
      <c r="K31" s="2" t="s">
        <v>52</v>
      </c>
      <c r="L31" s="22">
        <f t="shared" si="0"/>
        <v>5359920.0000000009</v>
      </c>
      <c r="M31" s="2">
        <v>38.840000000000003</v>
      </c>
      <c r="N31" s="21">
        <v>42681.276000000005</v>
      </c>
      <c r="O31" s="22">
        <f t="shared" si="1"/>
        <v>138000</v>
      </c>
      <c r="P31" s="2">
        <f t="shared" si="2"/>
        <v>0</v>
      </c>
      <c r="Q31" s="24">
        <f t="shared" si="3"/>
        <v>9.7100000000000006E-2</v>
      </c>
      <c r="R31" s="24">
        <f t="shared" si="4"/>
        <v>-9.7100000000000006E-2</v>
      </c>
      <c r="S31" s="23">
        <f t="shared" si="9"/>
        <v>0</v>
      </c>
      <c r="T31" s="3">
        <v>0</v>
      </c>
      <c r="U31" s="3">
        <f t="shared" si="5"/>
        <v>0</v>
      </c>
      <c r="V31" s="2">
        <v>0</v>
      </c>
      <c r="W31" s="2">
        <f t="shared" si="10"/>
        <v>0</v>
      </c>
      <c r="X31" s="25">
        <f t="shared" si="6"/>
        <v>138000</v>
      </c>
      <c r="Y31" s="25">
        <f t="shared" si="7"/>
        <v>125580.12558012558</v>
      </c>
      <c r="Z31" s="25">
        <f t="shared" si="8"/>
        <v>125.58012558012558</v>
      </c>
      <c r="AA31" s="2" t="s">
        <v>53</v>
      </c>
      <c r="AB31" s="2" t="s">
        <v>154</v>
      </c>
      <c r="AC31" s="2">
        <v>7025</v>
      </c>
      <c r="AD31" s="2"/>
      <c r="AE31" s="4"/>
    </row>
    <row r="32" spans="1:31" x14ac:dyDescent="0.25">
      <c r="A32" s="1" t="s">
        <v>26</v>
      </c>
      <c r="B32" s="1" t="s">
        <v>155</v>
      </c>
      <c r="C32" s="2">
        <v>220526086</v>
      </c>
      <c r="D32" s="2" t="s">
        <v>28</v>
      </c>
      <c r="E32" s="2">
        <v>39</v>
      </c>
      <c r="F32" s="15" t="s">
        <v>156</v>
      </c>
      <c r="G32" s="2" t="s">
        <v>144</v>
      </c>
      <c r="H32" s="2" t="s">
        <v>157</v>
      </c>
      <c r="I32" s="2" t="s">
        <v>89</v>
      </c>
      <c r="J32" s="2">
        <v>38.9</v>
      </c>
      <c r="K32" s="2" t="s">
        <v>158</v>
      </c>
      <c r="L32" s="22">
        <f t="shared" si="0"/>
        <v>5737750</v>
      </c>
      <c r="M32" s="2">
        <v>38.79</v>
      </c>
      <c r="N32" s="21">
        <v>42626.330999999998</v>
      </c>
      <c r="O32" s="22">
        <f t="shared" si="1"/>
        <v>147918.27790667699</v>
      </c>
      <c r="P32" s="2">
        <f t="shared" si="2"/>
        <v>0.10999999999999943</v>
      </c>
      <c r="Q32" s="24">
        <f t="shared" si="3"/>
        <v>9.7250000000000003E-2</v>
      </c>
      <c r="R32" s="24">
        <f t="shared" si="4"/>
        <v>1.2749999999999428E-2</v>
      </c>
      <c r="S32" s="23">
        <f t="shared" si="9"/>
        <v>1880.6249999999156</v>
      </c>
      <c r="T32" s="3">
        <v>0</v>
      </c>
      <c r="U32" s="3">
        <f t="shared" si="5"/>
        <v>0</v>
      </c>
      <c r="V32" s="2">
        <v>0</v>
      </c>
      <c r="W32" s="2">
        <f t="shared" si="10"/>
        <v>0</v>
      </c>
      <c r="X32" s="25">
        <f t="shared" si="6"/>
        <v>147918.27790667699</v>
      </c>
      <c r="Y32" s="25">
        <f t="shared" si="7"/>
        <v>134605.76750084356</v>
      </c>
      <c r="Z32" s="25">
        <f t="shared" si="8"/>
        <v>134.60576750084357</v>
      </c>
      <c r="AA32" s="2" t="s">
        <v>53</v>
      </c>
      <c r="AB32" s="2" t="s">
        <v>114</v>
      </c>
      <c r="AC32" s="2">
        <v>13809</v>
      </c>
      <c r="AD32" s="2"/>
      <c r="AE32" s="4"/>
    </row>
    <row r="33" spans="1:31" x14ac:dyDescent="0.25">
      <c r="A33" s="1" t="s">
        <v>26</v>
      </c>
      <c r="B33" s="1" t="s">
        <v>27</v>
      </c>
      <c r="C33" s="2">
        <v>220526031</v>
      </c>
      <c r="D33" s="2" t="s">
        <v>28</v>
      </c>
      <c r="E33" s="2">
        <v>40</v>
      </c>
      <c r="F33" s="15">
        <v>192426016819</v>
      </c>
      <c r="G33" s="2" t="s">
        <v>136</v>
      </c>
      <c r="H33" s="2" t="s">
        <v>157</v>
      </c>
      <c r="I33" s="2" t="s">
        <v>106</v>
      </c>
      <c r="J33" s="2">
        <v>39.07</v>
      </c>
      <c r="K33" s="2" t="s">
        <v>139</v>
      </c>
      <c r="L33" s="22">
        <f t="shared" si="0"/>
        <v>5840965</v>
      </c>
      <c r="M33" s="2">
        <v>38.950000000000003</v>
      </c>
      <c r="N33" s="21">
        <v>42802.155000000006</v>
      </c>
      <c r="O33" s="22">
        <f t="shared" si="1"/>
        <v>149960.59050064185</v>
      </c>
      <c r="P33" s="2">
        <f t="shared" si="2"/>
        <v>0.11999999999999744</v>
      </c>
      <c r="Q33" s="24">
        <f t="shared" si="3"/>
        <v>9.7674999999999998E-2</v>
      </c>
      <c r="R33" s="24">
        <f t="shared" si="4"/>
        <v>2.2324999999997444E-2</v>
      </c>
      <c r="S33" s="23">
        <f t="shared" si="9"/>
        <v>3337.5874999996181</v>
      </c>
      <c r="T33" s="3">
        <v>0</v>
      </c>
      <c r="U33" s="3">
        <f t="shared" si="5"/>
        <v>0</v>
      </c>
      <c r="V33" s="2">
        <v>0</v>
      </c>
      <c r="W33" s="2">
        <f t="shared" si="10"/>
        <v>0</v>
      </c>
      <c r="X33" s="25">
        <f t="shared" si="6"/>
        <v>149960.59050064185</v>
      </c>
      <c r="Y33" s="25">
        <f t="shared" si="7"/>
        <v>136464.27381985789</v>
      </c>
      <c r="Z33" s="25">
        <f t="shared" si="8"/>
        <v>136.46427381985788</v>
      </c>
      <c r="AA33" s="2" t="s">
        <v>53</v>
      </c>
      <c r="AB33" s="2" t="s">
        <v>159</v>
      </c>
      <c r="AC33" s="2">
        <v>14044</v>
      </c>
      <c r="AD33" s="2"/>
      <c r="AE33" s="4"/>
    </row>
    <row r="34" spans="1:31" x14ac:dyDescent="0.25">
      <c r="A34" s="1" t="s">
        <v>26</v>
      </c>
      <c r="B34" s="1" t="s">
        <v>27</v>
      </c>
      <c r="C34" s="2">
        <v>220526031</v>
      </c>
      <c r="D34" s="2" t="s">
        <v>28</v>
      </c>
      <c r="E34" s="2">
        <v>26</v>
      </c>
      <c r="F34" s="15">
        <v>192426017974</v>
      </c>
      <c r="G34" s="2" t="s">
        <v>141</v>
      </c>
      <c r="H34" s="2" t="s">
        <v>160</v>
      </c>
      <c r="I34" s="2" t="s">
        <v>106</v>
      </c>
      <c r="J34" s="2">
        <v>25.51</v>
      </c>
      <c r="K34" s="2" t="s">
        <v>139</v>
      </c>
      <c r="L34" s="22">
        <f t="shared" si="0"/>
        <v>3813745.0000000005</v>
      </c>
      <c r="M34" s="2">
        <v>25.45</v>
      </c>
      <c r="N34" s="21">
        <v>27967.005000000001</v>
      </c>
      <c r="O34" s="22">
        <f t="shared" si="1"/>
        <v>149852.45579567782</v>
      </c>
      <c r="P34" s="2">
        <f t="shared" si="2"/>
        <v>6.0000000000002274E-2</v>
      </c>
      <c r="Q34" s="24">
        <f t="shared" si="3"/>
        <v>6.3774999999999998E-2</v>
      </c>
      <c r="R34" s="24">
        <f t="shared" si="4"/>
        <v>-3.7749999999977246E-3</v>
      </c>
      <c r="S34" s="23">
        <f t="shared" si="9"/>
        <v>0</v>
      </c>
      <c r="T34" s="3">
        <v>0</v>
      </c>
      <c r="U34" s="3">
        <f t="shared" si="5"/>
        <v>0</v>
      </c>
      <c r="V34" s="2">
        <v>0</v>
      </c>
      <c r="W34" s="2">
        <f t="shared" si="10"/>
        <v>0</v>
      </c>
      <c r="X34" s="25">
        <f t="shared" si="6"/>
        <v>149852.45579567782</v>
      </c>
      <c r="Y34" s="25">
        <f t="shared" si="7"/>
        <v>136365.87113993795</v>
      </c>
      <c r="Z34" s="25">
        <f t="shared" si="8"/>
        <v>136.36587113993795</v>
      </c>
      <c r="AA34" s="2" t="s">
        <v>161</v>
      </c>
      <c r="AB34" s="2" t="s">
        <v>162</v>
      </c>
      <c r="AC34" s="2">
        <v>185</v>
      </c>
      <c r="AD34" s="2"/>
      <c r="AE34" s="4"/>
    </row>
    <row r="35" spans="1:31" x14ac:dyDescent="0.25">
      <c r="A35" s="1" t="s">
        <v>26</v>
      </c>
      <c r="B35" s="1" t="s">
        <v>35</v>
      </c>
      <c r="C35" s="2">
        <v>220526072</v>
      </c>
      <c r="D35" s="2" t="s">
        <v>36</v>
      </c>
      <c r="E35" s="2">
        <v>41</v>
      </c>
      <c r="F35" s="15" t="s">
        <v>163</v>
      </c>
      <c r="G35" s="2" t="s">
        <v>157</v>
      </c>
      <c r="H35" s="2" t="s">
        <v>164</v>
      </c>
      <c r="I35" s="2" t="s">
        <v>89</v>
      </c>
      <c r="J35" s="2">
        <v>40.5</v>
      </c>
      <c r="K35" s="2" t="s">
        <v>165</v>
      </c>
      <c r="L35" s="22">
        <f t="shared" si="0"/>
        <v>5791500</v>
      </c>
      <c r="M35" s="2">
        <v>40.46</v>
      </c>
      <c r="N35" s="21">
        <v>44461.493999999999</v>
      </c>
      <c r="O35" s="22">
        <f t="shared" si="1"/>
        <v>143141.37419673751</v>
      </c>
      <c r="P35" s="2">
        <f t="shared" si="2"/>
        <v>3.9999999999999147E-2</v>
      </c>
      <c r="Q35" s="24">
        <f t="shared" si="3"/>
        <v>0.10125000000000001</v>
      </c>
      <c r="R35" s="24">
        <f t="shared" si="4"/>
        <v>-6.1250000000000859E-2</v>
      </c>
      <c r="S35" s="23">
        <f t="shared" si="9"/>
        <v>0</v>
      </c>
      <c r="T35" s="3">
        <v>3500</v>
      </c>
      <c r="U35" s="3">
        <f t="shared" si="5"/>
        <v>141610</v>
      </c>
      <c r="V35" s="2">
        <v>0</v>
      </c>
      <c r="W35" s="2">
        <f t="shared" si="10"/>
        <v>0</v>
      </c>
      <c r="X35" s="25">
        <f t="shared" si="6"/>
        <v>146641.37419673751</v>
      </c>
      <c r="Y35" s="25">
        <f t="shared" si="7"/>
        <v>133443.7839628151</v>
      </c>
      <c r="Z35" s="25">
        <f t="shared" si="8"/>
        <v>133.4437839628151</v>
      </c>
      <c r="AA35" s="2" t="s">
        <v>38</v>
      </c>
      <c r="AB35" s="2" t="s">
        <v>43</v>
      </c>
      <c r="AC35" s="2">
        <v>8414</v>
      </c>
      <c r="AD35" s="2"/>
      <c r="AE35" s="4"/>
    </row>
    <row r="36" spans="1:31" x14ac:dyDescent="0.25">
      <c r="A36" s="1" t="s">
        <v>26</v>
      </c>
      <c r="B36" s="1" t="s">
        <v>27</v>
      </c>
      <c r="C36" s="2">
        <v>220526031</v>
      </c>
      <c r="D36" s="2" t="s">
        <v>28</v>
      </c>
      <c r="E36" s="2">
        <v>20</v>
      </c>
      <c r="F36" s="15">
        <v>192426019296</v>
      </c>
      <c r="G36" s="2" t="s">
        <v>153</v>
      </c>
      <c r="H36" s="2" t="s">
        <v>166</v>
      </c>
      <c r="I36" s="2" t="s">
        <v>106</v>
      </c>
      <c r="J36" s="2">
        <v>19.170000000000002</v>
      </c>
      <c r="K36" s="2" t="s">
        <v>139</v>
      </c>
      <c r="L36" s="22">
        <f t="shared" si="0"/>
        <v>2865915.0000000005</v>
      </c>
      <c r="M36" s="2">
        <v>19.07</v>
      </c>
      <c r="N36" s="21">
        <v>20956.023000000001</v>
      </c>
      <c r="O36" s="22">
        <f t="shared" si="1"/>
        <v>150283.9538542213</v>
      </c>
      <c r="P36" s="2">
        <f t="shared" si="2"/>
        <v>0.10000000000000142</v>
      </c>
      <c r="Q36" s="24">
        <f t="shared" si="3"/>
        <v>4.7925000000000002E-2</v>
      </c>
      <c r="R36" s="24">
        <f t="shared" si="4"/>
        <v>5.2075000000001419E-2</v>
      </c>
      <c r="S36" s="23">
        <f t="shared" si="9"/>
        <v>7785.2125000002125</v>
      </c>
      <c r="T36" s="3">
        <v>0</v>
      </c>
      <c r="U36" s="3">
        <f t="shared" si="5"/>
        <v>0</v>
      </c>
      <c r="V36" s="2">
        <v>0</v>
      </c>
      <c r="W36" s="2">
        <f t="shared" si="10"/>
        <v>0</v>
      </c>
      <c r="X36" s="25">
        <f t="shared" si="6"/>
        <v>150283.9538542213</v>
      </c>
      <c r="Y36" s="25">
        <f t="shared" si="7"/>
        <v>136758.53476587616</v>
      </c>
      <c r="Z36" s="25">
        <f t="shared" si="8"/>
        <v>136.75853476587616</v>
      </c>
      <c r="AA36" s="2" t="s">
        <v>53</v>
      </c>
      <c r="AB36" s="2" t="s">
        <v>167</v>
      </c>
      <c r="AC36" s="2">
        <v>14047</v>
      </c>
      <c r="AD36" s="2"/>
      <c r="AE36" s="4"/>
    </row>
    <row r="37" spans="1:31" x14ac:dyDescent="0.25">
      <c r="A37" s="1" t="s">
        <v>26</v>
      </c>
      <c r="B37" s="1" t="s">
        <v>27</v>
      </c>
      <c r="C37" s="2">
        <v>220526051</v>
      </c>
      <c r="D37" s="2" t="s">
        <v>28</v>
      </c>
      <c r="E37" s="2">
        <v>21</v>
      </c>
      <c r="F37" s="15">
        <v>192426019297</v>
      </c>
      <c r="G37" s="2" t="s">
        <v>153</v>
      </c>
      <c r="H37" s="2" t="s">
        <v>166</v>
      </c>
      <c r="I37" s="2" t="s">
        <v>106</v>
      </c>
      <c r="J37" s="2">
        <v>20.82</v>
      </c>
      <c r="K37" s="2" t="s">
        <v>139</v>
      </c>
      <c r="L37" s="22">
        <f t="shared" si="0"/>
        <v>3112590</v>
      </c>
      <c r="M37" s="2">
        <v>20.72</v>
      </c>
      <c r="N37" s="21">
        <v>22769.207999999999</v>
      </c>
      <c r="O37" s="22">
        <f t="shared" si="1"/>
        <v>150221.52509652512</v>
      </c>
      <c r="P37" s="2">
        <f t="shared" si="2"/>
        <v>0.10000000000000142</v>
      </c>
      <c r="Q37" s="24">
        <f t="shared" si="3"/>
        <v>5.2049999999999999E-2</v>
      </c>
      <c r="R37" s="24">
        <f t="shared" si="4"/>
        <v>4.7950000000001422E-2</v>
      </c>
      <c r="S37" s="23">
        <f t="shared" si="9"/>
        <v>7168.5250000002125</v>
      </c>
      <c r="T37" s="3">
        <v>0</v>
      </c>
      <c r="U37" s="3">
        <f t="shared" si="5"/>
        <v>0</v>
      </c>
      <c r="V37" s="2">
        <v>0</v>
      </c>
      <c r="W37" s="2">
        <f t="shared" si="10"/>
        <v>0</v>
      </c>
      <c r="X37" s="25">
        <f t="shared" si="6"/>
        <v>150221.52509652512</v>
      </c>
      <c r="Y37" s="25">
        <f t="shared" si="7"/>
        <v>136701.72453956239</v>
      </c>
      <c r="Z37" s="25">
        <f t="shared" si="8"/>
        <v>136.70172453956238</v>
      </c>
      <c r="AA37" s="2" t="s">
        <v>53</v>
      </c>
      <c r="AB37" s="2" t="s">
        <v>167</v>
      </c>
      <c r="AC37" s="2">
        <v>14047</v>
      </c>
      <c r="AD37" s="2"/>
      <c r="AE37" s="4"/>
    </row>
    <row r="38" spans="1:31" x14ac:dyDescent="0.25">
      <c r="A38" s="1" t="s">
        <v>26</v>
      </c>
      <c r="B38" s="1" t="s">
        <v>27</v>
      </c>
      <c r="C38" s="2">
        <v>220526051</v>
      </c>
      <c r="D38" s="2" t="s">
        <v>28</v>
      </c>
      <c r="E38" s="2">
        <v>40</v>
      </c>
      <c r="F38" s="15">
        <v>192426020440</v>
      </c>
      <c r="G38" s="2" t="s">
        <v>157</v>
      </c>
      <c r="H38" s="2" t="s">
        <v>169</v>
      </c>
      <c r="I38" s="2" t="s">
        <v>106</v>
      </c>
      <c r="J38" s="2">
        <v>39.03</v>
      </c>
      <c r="K38" s="2" t="s">
        <v>139</v>
      </c>
      <c r="L38" s="22">
        <f t="shared" si="0"/>
        <v>5834985</v>
      </c>
      <c r="M38" s="2">
        <v>38.94</v>
      </c>
      <c r="N38" s="21">
        <v>42791.165999999997</v>
      </c>
      <c r="O38" s="22">
        <f t="shared" si="1"/>
        <v>149845.53158705702</v>
      </c>
      <c r="P38" s="2">
        <f t="shared" si="2"/>
        <v>9.0000000000003411E-2</v>
      </c>
      <c r="Q38" s="24">
        <f t="shared" si="3"/>
        <v>9.7575000000000009E-2</v>
      </c>
      <c r="R38" s="24">
        <f t="shared" si="4"/>
        <v>-7.5749999999965983E-3</v>
      </c>
      <c r="S38" s="23">
        <f t="shared" si="9"/>
        <v>0</v>
      </c>
      <c r="T38" s="3">
        <v>0</v>
      </c>
      <c r="U38" s="3">
        <f t="shared" si="5"/>
        <v>0</v>
      </c>
      <c r="V38" s="2">
        <v>0</v>
      </c>
      <c r="W38" s="2">
        <f t="shared" si="10"/>
        <v>0</v>
      </c>
      <c r="X38" s="25">
        <f t="shared" si="6"/>
        <v>149845.53158705702</v>
      </c>
      <c r="Y38" s="25">
        <f t="shared" si="7"/>
        <v>136359.57010379198</v>
      </c>
      <c r="Z38" s="25">
        <f t="shared" si="8"/>
        <v>136.35957010379198</v>
      </c>
      <c r="AA38" s="2" t="s">
        <v>108</v>
      </c>
      <c r="AB38" s="2" t="s">
        <v>110</v>
      </c>
      <c r="AC38" s="2">
        <v>403</v>
      </c>
      <c r="AD38" s="2"/>
      <c r="AE38" s="4"/>
    </row>
    <row r="39" spans="1:31" x14ac:dyDescent="0.25">
      <c r="A39" s="1" t="s">
        <v>26</v>
      </c>
      <c r="B39" s="1" t="s">
        <v>61</v>
      </c>
      <c r="C39" s="2">
        <v>220526093</v>
      </c>
      <c r="D39" s="2" t="s">
        <v>36</v>
      </c>
      <c r="E39" s="2">
        <v>42</v>
      </c>
      <c r="F39" s="15" t="s">
        <v>170</v>
      </c>
      <c r="G39" s="2" t="s">
        <v>164</v>
      </c>
      <c r="H39" s="2" t="s">
        <v>171</v>
      </c>
      <c r="I39" s="2" t="s">
        <v>64</v>
      </c>
      <c r="J39" s="2">
        <v>41.47</v>
      </c>
      <c r="K39" s="2" t="s">
        <v>172</v>
      </c>
      <c r="L39" s="22">
        <f t="shared" si="0"/>
        <v>6697405</v>
      </c>
      <c r="M39" s="2">
        <v>41.12</v>
      </c>
      <c r="N39" s="21">
        <v>45186.767999999996</v>
      </c>
      <c r="O39" s="22">
        <f t="shared" si="1"/>
        <v>162874.63521400778</v>
      </c>
      <c r="P39" s="2">
        <f t="shared" si="2"/>
        <v>0.35000000000000142</v>
      </c>
      <c r="Q39" s="24">
        <f t="shared" si="3"/>
        <v>0.103675</v>
      </c>
      <c r="R39" s="24">
        <f t="shared" si="4"/>
        <v>0.2463250000000014</v>
      </c>
      <c r="S39" s="23">
        <f t="shared" si="9"/>
        <v>39781.487500000228</v>
      </c>
      <c r="T39" s="3">
        <v>4000</v>
      </c>
      <c r="U39" s="3">
        <f t="shared" si="5"/>
        <v>164480</v>
      </c>
      <c r="V39" s="2">
        <v>0</v>
      </c>
      <c r="W39" s="2">
        <f t="shared" si="10"/>
        <v>0</v>
      </c>
      <c r="X39" s="25">
        <f t="shared" si="6"/>
        <v>166874.63521400778</v>
      </c>
      <c r="Y39" s="25">
        <f t="shared" si="7"/>
        <v>151856.06990081698</v>
      </c>
      <c r="Z39" s="25">
        <f t="shared" si="8"/>
        <v>151.85606990081698</v>
      </c>
      <c r="AA39" s="2" t="s">
        <v>38</v>
      </c>
      <c r="AB39" s="2" t="s">
        <v>91</v>
      </c>
      <c r="AC39" s="2">
        <v>8296</v>
      </c>
      <c r="AD39" s="2"/>
      <c r="AE39" s="4"/>
    </row>
    <row r="40" spans="1:31" x14ac:dyDescent="0.25">
      <c r="A40" s="1" t="s">
        <v>26</v>
      </c>
      <c r="B40" s="1" t="s">
        <v>27</v>
      </c>
      <c r="C40" s="2">
        <v>326226518</v>
      </c>
      <c r="D40" s="2" t="s">
        <v>28</v>
      </c>
      <c r="E40" s="2">
        <v>39</v>
      </c>
      <c r="F40" s="15">
        <v>190826008894</v>
      </c>
      <c r="G40" s="2" t="s">
        <v>151</v>
      </c>
      <c r="H40" s="2" t="s">
        <v>171</v>
      </c>
      <c r="I40" s="2" t="s">
        <v>51</v>
      </c>
      <c r="J40" s="2">
        <v>38.76</v>
      </c>
      <c r="K40" s="2" t="s">
        <v>52</v>
      </c>
      <c r="L40" s="22">
        <f t="shared" si="0"/>
        <v>5348880</v>
      </c>
      <c r="M40" s="2">
        <v>38.76</v>
      </c>
      <c r="N40" s="21">
        <v>42593.363999999994</v>
      </c>
      <c r="O40" s="22">
        <f t="shared" si="1"/>
        <v>138000</v>
      </c>
      <c r="P40" s="2">
        <f t="shared" si="2"/>
        <v>0</v>
      </c>
      <c r="Q40" s="24">
        <f t="shared" si="3"/>
        <v>9.69E-2</v>
      </c>
      <c r="R40" s="24">
        <f t="shared" si="4"/>
        <v>-9.69E-2</v>
      </c>
      <c r="S40" s="23">
        <f t="shared" si="9"/>
        <v>0</v>
      </c>
      <c r="T40" s="3">
        <v>0</v>
      </c>
      <c r="U40" s="3">
        <f t="shared" si="5"/>
        <v>0</v>
      </c>
      <c r="V40" s="2">
        <v>0</v>
      </c>
      <c r="W40" s="2">
        <f t="shared" si="10"/>
        <v>0</v>
      </c>
      <c r="X40" s="25">
        <f t="shared" si="6"/>
        <v>138000</v>
      </c>
      <c r="Y40" s="25">
        <f t="shared" si="7"/>
        <v>125580.12558012558</v>
      </c>
      <c r="Z40" s="25">
        <f t="shared" si="8"/>
        <v>125.58012558012558</v>
      </c>
      <c r="AA40" s="2" t="s">
        <v>108</v>
      </c>
      <c r="AB40" s="2" t="s">
        <v>173</v>
      </c>
      <c r="AC40" s="2">
        <v>310</v>
      </c>
      <c r="AD40" s="2"/>
      <c r="AE40" s="4"/>
    </row>
    <row r="41" spans="1:31" x14ac:dyDescent="0.25">
      <c r="A41" s="1" t="s">
        <v>26</v>
      </c>
      <c r="B41" s="1" t="s">
        <v>85</v>
      </c>
      <c r="C41" s="2">
        <v>220426173</v>
      </c>
      <c r="D41" s="2" t="s">
        <v>36</v>
      </c>
      <c r="E41" s="2">
        <v>42</v>
      </c>
      <c r="F41" s="15" t="s">
        <v>174</v>
      </c>
      <c r="G41" s="2" t="s">
        <v>175</v>
      </c>
      <c r="H41" s="2" t="s">
        <v>171</v>
      </c>
      <c r="I41" s="2" t="s">
        <v>89</v>
      </c>
      <c r="J41" s="2">
        <v>41.27</v>
      </c>
      <c r="K41" s="2" t="s">
        <v>132</v>
      </c>
      <c r="L41" s="22">
        <f t="shared" si="0"/>
        <v>5984150</v>
      </c>
      <c r="M41" s="2">
        <v>41.17</v>
      </c>
      <c r="N41" s="21">
        <v>45241.713000000003</v>
      </c>
      <c r="O41" s="22">
        <f t="shared" si="1"/>
        <v>145352.19820257468</v>
      </c>
      <c r="P41" s="2">
        <f t="shared" si="2"/>
        <v>0.10000000000000142</v>
      </c>
      <c r="Q41" s="24">
        <f t="shared" si="3"/>
        <v>0.10317500000000002</v>
      </c>
      <c r="R41" s="24">
        <f t="shared" si="4"/>
        <v>-3.1749999999985956E-3</v>
      </c>
      <c r="S41" s="23">
        <f t="shared" si="9"/>
        <v>0</v>
      </c>
      <c r="T41" s="3">
        <v>3100</v>
      </c>
      <c r="U41" s="3">
        <f t="shared" si="5"/>
        <v>127627</v>
      </c>
      <c r="V41" s="2">
        <v>0</v>
      </c>
      <c r="W41" s="2">
        <f t="shared" si="10"/>
        <v>0</v>
      </c>
      <c r="X41" s="25">
        <f t="shared" si="6"/>
        <v>148452.19820257468</v>
      </c>
      <c r="Y41" s="25">
        <f t="shared" si="7"/>
        <v>135091.63545597842</v>
      </c>
      <c r="Z41" s="25">
        <f t="shared" si="8"/>
        <v>135.09163545597843</v>
      </c>
      <c r="AA41" s="2" t="s">
        <v>38</v>
      </c>
      <c r="AB41" s="2" t="s">
        <v>142</v>
      </c>
      <c r="AC41" s="2">
        <v>8420</v>
      </c>
      <c r="AD41" s="2"/>
      <c r="AE41" s="4"/>
    </row>
    <row r="42" spans="1:31" x14ac:dyDescent="0.25">
      <c r="A42" s="1" t="s">
        <v>26</v>
      </c>
      <c r="B42" s="1" t="s">
        <v>155</v>
      </c>
      <c r="C42" s="2">
        <v>220526086</v>
      </c>
      <c r="D42" s="2" t="s">
        <v>28</v>
      </c>
      <c r="E42" s="2">
        <v>39</v>
      </c>
      <c r="F42" s="15" t="s">
        <v>176</v>
      </c>
      <c r="G42" s="2" t="s">
        <v>153</v>
      </c>
      <c r="H42" s="2" t="s">
        <v>177</v>
      </c>
      <c r="I42" s="2" t="s">
        <v>89</v>
      </c>
      <c r="J42" s="2">
        <v>38.880000000000003</v>
      </c>
      <c r="K42" s="2" t="s">
        <v>158</v>
      </c>
      <c r="L42" s="22">
        <f t="shared" si="0"/>
        <v>5734800</v>
      </c>
      <c r="M42" s="2">
        <v>38.81</v>
      </c>
      <c r="N42" s="21">
        <v>42648.309000000001</v>
      </c>
      <c r="O42" s="22">
        <f t="shared" si="1"/>
        <v>147766.03968049472</v>
      </c>
      <c r="P42" s="2">
        <f t="shared" si="2"/>
        <v>7.0000000000000284E-2</v>
      </c>
      <c r="Q42" s="24">
        <f t="shared" si="3"/>
        <v>9.7200000000000009E-2</v>
      </c>
      <c r="R42" s="24">
        <f t="shared" si="4"/>
        <v>-2.7199999999999724E-2</v>
      </c>
      <c r="S42" s="23">
        <f t="shared" si="9"/>
        <v>0</v>
      </c>
      <c r="T42" s="3">
        <v>0</v>
      </c>
      <c r="U42" s="3">
        <f t="shared" si="5"/>
        <v>0</v>
      </c>
      <c r="V42" s="2">
        <v>0</v>
      </c>
      <c r="W42" s="2">
        <f t="shared" si="10"/>
        <v>0</v>
      </c>
      <c r="X42" s="25">
        <f t="shared" si="6"/>
        <v>147766.03968049472</v>
      </c>
      <c r="Y42" s="25">
        <f t="shared" si="7"/>
        <v>134467.23057648077</v>
      </c>
      <c r="Z42" s="25">
        <f t="shared" si="8"/>
        <v>134.46723057648077</v>
      </c>
      <c r="AA42" s="2" t="s">
        <v>108</v>
      </c>
      <c r="AB42" s="2" t="s">
        <v>178</v>
      </c>
      <c r="AC42" s="2">
        <v>136</v>
      </c>
      <c r="AD42" s="2"/>
      <c r="AE42" s="4"/>
    </row>
    <row r="43" spans="1:31" x14ac:dyDescent="0.25">
      <c r="A43" s="1" t="s">
        <v>26</v>
      </c>
      <c r="B43" s="1" t="s">
        <v>35</v>
      </c>
      <c r="C43" s="2">
        <v>220526072</v>
      </c>
      <c r="D43" s="2" t="s">
        <v>36</v>
      </c>
      <c r="E43" s="2">
        <v>42</v>
      </c>
      <c r="F43" s="15" t="s">
        <v>179</v>
      </c>
      <c r="G43" s="2" t="s">
        <v>157</v>
      </c>
      <c r="H43" s="2" t="s">
        <v>180</v>
      </c>
      <c r="I43" s="2" t="s">
        <v>89</v>
      </c>
      <c r="J43" s="2">
        <v>41.35</v>
      </c>
      <c r="K43" s="2" t="s">
        <v>165</v>
      </c>
      <c r="L43" s="22">
        <f t="shared" si="0"/>
        <v>5913050</v>
      </c>
      <c r="M43" s="2">
        <v>41.19</v>
      </c>
      <c r="N43" s="21">
        <v>45263.690999999992</v>
      </c>
      <c r="O43" s="22">
        <f t="shared" si="1"/>
        <v>143555.4746297645</v>
      </c>
      <c r="P43" s="2">
        <f t="shared" si="2"/>
        <v>0.16000000000000369</v>
      </c>
      <c r="Q43" s="24">
        <f t="shared" si="3"/>
        <v>0.10337500000000001</v>
      </c>
      <c r="R43" s="24">
        <f t="shared" si="4"/>
        <v>5.6625000000003686E-2</v>
      </c>
      <c r="S43" s="23">
        <f t="shared" si="9"/>
        <v>8097.3750000005275</v>
      </c>
      <c r="T43" s="3">
        <v>3500</v>
      </c>
      <c r="U43" s="3">
        <f t="shared" si="5"/>
        <v>144165</v>
      </c>
      <c r="V43" s="2">
        <v>0</v>
      </c>
      <c r="W43" s="2">
        <f t="shared" si="10"/>
        <v>0</v>
      </c>
      <c r="X43" s="25">
        <f t="shared" si="6"/>
        <v>147055.4746297645</v>
      </c>
      <c r="Y43" s="25">
        <f t="shared" si="7"/>
        <v>133820.61573370144</v>
      </c>
      <c r="Z43" s="25">
        <f t="shared" si="8"/>
        <v>133.82061573370146</v>
      </c>
      <c r="AA43" s="2" t="s">
        <v>38</v>
      </c>
      <c r="AB43" s="2" t="s">
        <v>92</v>
      </c>
      <c r="AC43" s="2">
        <v>8415</v>
      </c>
      <c r="AD43" s="2"/>
      <c r="AE43" s="4"/>
    </row>
    <row r="44" spans="1:31" x14ac:dyDescent="0.25">
      <c r="A44" s="1" t="s">
        <v>26</v>
      </c>
      <c r="B44" s="1" t="s">
        <v>27</v>
      </c>
      <c r="C44" s="2">
        <v>220526051</v>
      </c>
      <c r="D44" s="2" t="s">
        <v>28</v>
      </c>
      <c r="E44" s="2">
        <v>40</v>
      </c>
      <c r="F44" s="15">
        <v>192426021486</v>
      </c>
      <c r="G44" s="2" t="s">
        <v>160</v>
      </c>
      <c r="H44" s="2" t="s">
        <v>180</v>
      </c>
      <c r="I44" s="2" t="s">
        <v>106</v>
      </c>
      <c r="J44" s="2">
        <v>39.1</v>
      </c>
      <c r="K44" s="2" t="s">
        <v>139</v>
      </c>
      <c r="L44" s="22">
        <f t="shared" si="0"/>
        <v>5845450</v>
      </c>
      <c r="M44" s="2">
        <v>39</v>
      </c>
      <c r="N44" s="21">
        <v>42857.100000000006</v>
      </c>
      <c r="O44" s="22">
        <f t="shared" si="1"/>
        <v>149883.33333333334</v>
      </c>
      <c r="P44" s="2">
        <f t="shared" si="2"/>
        <v>0.10000000000000142</v>
      </c>
      <c r="Q44" s="24">
        <f t="shared" si="3"/>
        <v>9.7750000000000004E-2</v>
      </c>
      <c r="R44" s="24">
        <f t="shared" si="4"/>
        <v>2.2500000000014175E-3</v>
      </c>
      <c r="S44" s="23">
        <f t="shared" si="9"/>
        <v>336.37500000021191</v>
      </c>
      <c r="T44" s="3">
        <v>0</v>
      </c>
      <c r="U44" s="3">
        <f t="shared" si="5"/>
        <v>0</v>
      </c>
      <c r="V44" s="2">
        <v>0</v>
      </c>
      <c r="W44" s="2">
        <f t="shared" si="10"/>
        <v>0</v>
      </c>
      <c r="X44" s="25">
        <f t="shared" si="6"/>
        <v>149883.33333333334</v>
      </c>
      <c r="Y44" s="25">
        <f t="shared" si="7"/>
        <v>136393.96972730308</v>
      </c>
      <c r="Z44" s="25">
        <f t="shared" si="8"/>
        <v>136.39396972730307</v>
      </c>
      <c r="AA44" s="2" t="s">
        <v>53</v>
      </c>
      <c r="AB44" s="2" t="s">
        <v>181</v>
      </c>
      <c r="AC44" s="2">
        <v>14113</v>
      </c>
      <c r="AD44" s="2"/>
      <c r="AE44" s="4"/>
    </row>
    <row r="45" spans="1:31" x14ac:dyDescent="0.25">
      <c r="A45" s="1" t="s">
        <v>26</v>
      </c>
      <c r="B45" s="1" t="s">
        <v>155</v>
      </c>
      <c r="C45" s="2">
        <v>220526086</v>
      </c>
      <c r="D45" s="2" t="s">
        <v>28</v>
      </c>
      <c r="E45" s="2">
        <v>39</v>
      </c>
      <c r="F45" s="15" t="s">
        <v>182</v>
      </c>
      <c r="G45" s="2" t="s">
        <v>160</v>
      </c>
      <c r="H45" s="2" t="s">
        <v>177</v>
      </c>
      <c r="I45" s="2" t="s">
        <v>89</v>
      </c>
      <c r="J45" s="2">
        <v>39</v>
      </c>
      <c r="K45" s="2" t="s">
        <v>158</v>
      </c>
      <c r="L45" s="22">
        <f t="shared" si="0"/>
        <v>5752500</v>
      </c>
      <c r="M45" s="2">
        <v>38.89</v>
      </c>
      <c r="N45" s="21">
        <v>42736.220999999998</v>
      </c>
      <c r="O45" s="22">
        <f t="shared" si="1"/>
        <v>147917.20236564669</v>
      </c>
      <c r="P45" s="2">
        <f t="shared" si="2"/>
        <v>0.10999999999999943</v>
      </c>
      <c r="Q45" s="24">
        <f t="shared" si="3"/>
        <v>9.7500000000000003E-2</v>
      </c>
      <c r="R45" s="24">
        <f t="shared" si="4"/>
        <v>1.2499999999999428E-2</v>
      </c>
      <c r="S45" s="23">
        <f t="shared" si="9"/>
        <v>1843.7499999999156</v>
      </c>
      <c r="T45" s="3">
        <v>0</v>
      </c>
      <c r="U45" s="3">
        <f t="shared" si="5"/>
        <v>0</v>
      </c>
      <c r="V45" s="2">
        <v>0</v>
      </c>
      <c r="W45" s="2">
        <f t="shared" si="10"/>
        <v>0</v>
      </c>
      <c r="X45" s="25">
        <f t="shared" si="6"/>
        <v>147917.20236564669</v>
      </c>
      <c r="Y45" s="25">
        <f t="shared" si="7"/>
        <v>134604.78875752725</v>
      </c>
      <c r="Z45" s="25">
        <f t="shared" si="8"/>
        <v>134.60478875752725</v>
      </c>
      <c r="AA45" s="2" t="s">
        <v>53</v>
      </c>
      <c r="AB45" s="2" t="s">
        <v>140</v>
      </c>
      <c r="AC45" s="2">
        <v>14344</v>
      </c>
      <c r="AD45" s="2"/>
      <c r="AE45" s="4"/>
    </row>
    <row r="46" spans="1:31" x14ac:dyDescent="0.25">
      <c r="A46" s="1" t="s">
        <v>26</v>
      </c>
      <c r="B46" s="1" t="s">
        <v>35</v>
      </c>
      <c r="C46" s="2">
        <v>220426113</v>
      </c>
      <c r="D46" s="2" t="s">
        <v>36</v>
      </c>
      <c r="E46" s="2">
        <v>40</v>
      </c>
      <c r="F46" s="15" t="s">
        <v>183</v>
      </c>
      <c r="G46" s="2" t="s">
        <v>166</v>
      </c>
      <c r="H46" s="2" t="s">
        <v>177</v>
      </c>
      <c r="I46" s="2" t="s">
        <v>89</v>
      </c>
      <c r="J46" s="2">
        <v>39.93</v>
      </c>
      <c r="K46" s="2" t="s">
        <v>132</v>
      </c>
      <c r="L46" s="22">
        <f t="shared" si="0"/>
        <v>5789850</v>
      </c>
      <c r="M46" s="2">
        <v>39.78</v>
      </c>
      <c r="N46" s="21">
        <v>43714.241999999998</v>
      </c>
      <c r="O46" s="22">
        <f t="shared" si="1"/>
        <v>145546.75716440423</v>
      </c>
      <c r="P46" s="2">
        <f t="shared" si="2"/>
        <v>0.14999999999999858</v>
      </c>
      <c r="Q46" s="24">
        <f t="shared" si="3"/>
        <v>9.9824999999999997E-2</v>
      </c>
      <c r="R46" s="24">
        <f t="shared" si="4"/>
        <v>5.0174999999998582E-2</v>
      </c>
      <c r="S46" s="23">
        <f t="shared" si="9"/>
        <v>7275.3749999997945</v>
      </c>
      <c r="T46" s="3">
        <v>3500</v>
      </c>
      <c r="U46" s="3">
        <f t="shared" si="5"/>
        <v>139230</v>
      </c>
      <c r="V46" s="2">
        <v>0</v>
      </c>
      <c r="W46" s="2">
        <f t="shared" si="10"/>
        <v>0</v>
      </c>
      <c r="X46" s="25">
        <f t="shared" si="6"/>
        <v>149046.75716440423</v>
      </c>
      <c r="Y46" s="25">
        <f t="shared" si="7"/>
        <v>135632.68465229252</v>
      </c>
      <c r="Z46" s="25">
        <f t="shared" si="8"/>
        <v>135.63268465229251</v>
      </c>
      <c r="AA46" s="2" t="s">
        <v>38</v>
      </c>
      <c r="AB46" s="2" t="s">
        <v>184</v>
      </c>
      <c r="AC46" s="2">
        <v>8422</v>
      </c>
      <c r="AD46" s="2"/>
      <c r="AE46" s="4"/>
    </row>
    <row r="47" spans="1:31" x14ac:dyDescent="0.25">
      <c r="A47" s="1" t="s">
        <v>26</v>
      </c>
      <c r="B47" s="1" t="s">
        <v>27</v>
      </c>
      <c r="C47" s="2">
        <v>220526051</v>
      </c>
      <c r="D47" s="2" t="s">
        <v>28</v>
      </c>
      <c r="E47" s="2">
        <v>40</v>
      </c>
      <c r="F47" s="15">
        <v>192426021825</v>
      </c>
      <c r="G47" s="2" t="s">
        <v>164</v>
      </c>
      <c r="H47" s="2" t="s">
        <v>187</v>
      </c>
      <c r="I47" s="2" t="s">
        <v>106</v>
      </c>
      <c r="J47" s="2">
        <v>39.24</v>
      </c>
      <c r="K47" s="2" t="s">
        <v>139</v>
      </c>
      <c r="L47" s="22">
        <f t="shared" si="0"/>
        <v>5866380</v>
      </c>
      <c r="M47" s="2">
        <v>39.1</v>
      </c>
      <c r="N47" s="21">
        <v>42966.990000000005</v>
      </c>
      <c r="O47" s="22">
        <f t="shared" si="1"/>
        <v>150035.29411764705</v>
      </c>
      <c r="P47" s="2">
        <f t="shared" si="2"/>
        <v>0.14000000000000057</v>
      </c>
      <c r="Q47" s="24">
        <f t="shared" si="3"/>
        <v>9.8100000000000007E-2</v>
      </c>
      <c r="R47" s="24">
        <f t="shared" si="4"/>
        <v>4.1900000000000562E-2</v>
      </c>
      <c r="S47" s="23">
        <f t="shared" si="9"/>
        <v>6264.0500000000839</v>
      </c>
      <c r="T47" s="3">
        <v>0</v>
      </c>
      <c r="U47" s="3">
        <f t="shared" si="5"/>
        <v>0</v>
      </c>
      <c r="V47" s="2">
        <v>0</v>
      </c>
      <c r="W47" s="2">
        <f t="shared" si="10"/>
        <v>0</v>
      </c>
      <c r="X47" s="25">
        <f t="shared" si="6"/>
        <v>150035.29411764705</v>
      </c>
      <c r="Y47" s="25">
        <f t="shared" si="7"/>
        <v>136532.25417931299</v>
      </c>
      <c r="Z47" s="25">
        <f t="shared" si="8"/>
        <v>136.53225417931299</v>
      </c>
      <c r="AA47" s="2" t="s">
        <v>53</v>
      </c>
      <c r="AB47" s="2" t="s">
        <v>188</v>
      </c>
      <c r="AC47" s="2">
        <v>406</v>
      </c>
      <c r="AD47" s="2"/>
      <c r="AE47" s="4"/>
    </row>
    <row r="48" spans="1:31" x14ac:dyDescent="0.25">
      <c r="A48" s="1" t="s">
        <v>26</v>
      </c>
      <c r="B48" s="1" t="s">
        <v>35</v>
      </c>
      <c r="C48" s="2">
        <v>220426113</v>
      </c>
      <c r="D48" s="2" t="s">
        <v>36</v>
      </c>
      <c r="E48" s="2">
        <v>40</v>
      </c>
      <c r="F48" s="15" t="s">
        <v>189</v>
      </c>
      <c r="G48" s="2" t="s">
        <v>166</v>
      </c>
      <c r="H48" s="2" t="s">
        <v>187</v>
      </c>
      <c r="I48" s="2" t="s">
        <v>89</v>
      </c>
      <c r="J48" s="2">
        <v>40.229999999999997</v>
      </c>
      <c r="K48" s="2" t="s">
        <v>132</v>
      </c>
      <c r="L48" s="22">
        <f t="shared" si="0"/>
        <v>5833350</v>
      </c>
      <c r="M48" s="2">
        <v>40.06</v>
      </c>
      <c r="N48" s="21">
        <v>44021.934000000001</v>
      </c>
      <c r="O48" s="22">
        <f t="shared" si="1"/>
        <v>145615.32700948577</v>
      </c>
      <c r="P48" s="2">
        <f t="shared" si="2"/>
        <v>0.1699999999999946</v>
      </c>
      <c r="Q48" s="24">
        <f t="shared" si="3"/>
        <v>0.100575</v>
      </c>
      <c r="R48" s="24">
        <f t="shared" si="4"/>
        <v>6.9424999999994602E-2</v>
      </c>
      <c r="S48" s="23">
        <f t="shared" si="9"/>
        <v>10066.624999999218</v>
      </c>
      <c r="T48" s="3">
        <v>3500</v>
      </c>
      <c r="U48" s="3">
        <f t="shared" si="5"/>
        <v>140210</v>
      </c>
      <c r="V48" s="2">
        <v>0</v>
      </c>
      <c r="W48" s="2">
        <f t="shared" si="10"/>
        <v>0</v>
      </c>
      <c r="X48" s="25">
        <f t="shared" si="6"/>
        <v>149115.32700948577</v>
      </c>
      <c r="Y48" s="25">
        <f t="shared" si="7"/>
        <v>135695.08327371534</v>
      </c>
      <c r="Z48" s="25">
        <f t="shared" si="8"/>
        <v>135.69508327371534</v>
      </c>
      <c r="AA48" s="2" t="s">
        <v>38</v>
      </c>
      <c r="AB48" s="2" t="s">
        <v>46</v>
      </c>
      <c r="AC48" s="2">
        <v>8421</v>
      </c>
      <c r="AD48" s="2"/>
      <c r="AE48" s="4"/>
    </row>
    <row r="49" spans="1:31" x14ac:dyDescent="0.25">
      <c r="A49" s="1" t="s">
        <v>26</v>
      </c>
      <c r="B49" s="1" t="s">
        <v>35</v>
      </c>
      <c r="C49" s="2">
        <v>220526103</v>
      </c>
      <c r="D49" s="2" t="s">
        <v>36</v>
      </c>
      <c r="E49" s="2">
        <v>42</v>
      </c>
      <c r="F49" s="15" t="s">
        <v>190</v>
      </c>
      <c r="G49" s="2" t="s">
        <v>164</v>
      </c>
      <c r="H49" s="2" t="s">
        <v>187</v>
      </c>
      <c r="I49" s="2" t="s">
        <v>89</v>
      </c>
      <c r="J49" s="2">
        <v>42.53</v>
      </c>
      <c r="K49" s="2" t="s">
        <v>191</v>
      </c>
      <c r="L49" s="22">
        <f t="shared" si="0"/>
        <v>6336970</v>
      </c>
      <c r="M49" s="2">
        <v>42.38</v>
      </c>
      <c r="N49" s="21">
        <v>46571.381999999998</v>
      </c>
      <c r="O49" s="22">
        <f t="shared" si="1"/>
        <v>149527.37140160453</v>
      </c>
      <c r="P49" s="2">
        <f t="shared" si="2"/>
        <v>0.14999999999999858</v>
      </c>
      <c r="Q49" s="24">
        <f t="shared" si="3"/>
        <v>0.106325</v>
      </c>
      <c r="R49" s="24">
        <f t="shared" si="4"/>
        <v>4.3674999999998576E-2</v>
      </c>
      <c r="S49" s="23">
        <f t="shared" si="9"/>
        <v>6507.5749999997879</v>
      </c>
      <c r="T49" s="3">
        <v>3500</v>
      </c>
      <c r="U49" s="3">
        <f t="shared" si="5"/>
        <v>148330</v>
      </c>
      <c r="V49" s="2">
        <v>0</v>
      </c>
      <c r="W49" s="2">
        <f t="shared" si="10"/>
        <v>0</v>
      </c>
      <c r="X49" s="25">
        <f t="shared" si="6"/>
        <v>153027.37140160453</v>
      </c>
      <c r="Y49" s="25">
        <f t="shared" si="7"/>
        <v>139255.04723050736</v>
      </c>
      <c r="Z49" s="25">
        <f t="shared" si="8"/>
        <v>139.25504723050736</v>
      </c>
      <c r="AA49" s="2" t="s">
        <v>38</v>
      </c>
      <c r="AB49" s="2" t="s">
        <v>40</v>
      </c>
      <c r="AC49" s="2">
        <v>8418</v>
      </c>
      <c r="AD49" s="2">
        <v>2026056808</v>
      </c>
      <c r="AE49" s="4"/>
    </row>
    <row r="50" spans="1:31" x14ac:dyDescent="0.25">
      <c r="A50" s="1" t="s">
        <v>26</v>
      </c>
      <c r="B50" s="1" t="s">
        <v>27</v>
      </c>
      <c r="C50" s="2">
        <v>326226518</v>
      </c>
      <c r="D50" s="2" t="s">
        <v>28</v>
      </c>
      <c r="E50" s="2">
        <v>39</v>
      </c>
      <c r="F50" s="15">
        <v>190826010370</v>
      </c>
      <c r="G50" s="2" t="s">
        <v>180</v>
      </c>
      <c r="H50" s="2" t="s">
        <v>186</v>
      </c>
      <c r="I50" s="2" t="s">
        <v>51</v>
      </c>
      <c r="J50" s="2">
        <v>38.799999999999997</v>
      </c>
      <c r="K50" s="2" t="s">
        <v>52</v>
      </c>
      <c r="L50" s="22">
        <f t="shared" si="0"/>
        <v>5354400</v>
      </c>
      <c r="M50" s="2">
        <v>38.76</v>
      </c>
      <c r="N50" s="21">
        <v>42593.363999999994</v>
      </c>
      <c r="O50" s="22">
        <f t="shared" si="1"/>
        <v>138142.41486068114</v>
      </c>
      <c r="P50" s="2">
        <f t="shared" si="2"/>
        <v>3.9999999999999147E-2</v>
      </c>
      <c r="Q50" s="24">
        <f t="shared" si="3"/>
        <v>9.6999999999999989E-2</v>
      </c>
      <c r="R50" s="24">
        <f t="shared" si="4"/>
        <v>-5.7000000000000842E-2</v>
      </c>
      <c r="S50" s="23">
        <f t="shared" si="9"/>
        <v>0</v>
      </c>
      <c r="T50" s="3">
        <v>0</v>
      </c>
      <c r="U50" s="3">
        <f t="shared" si="5"/>
        <v>0</v>
      </c>
      <c r="V50" s="2">
        <v>0</v>
      </c>
      <c r="W50" s="2">
        <f t="shared" si="10"/>
        <v>0</v>
      </c>
      <c r="X50" s="25">
        <f t="shared" si="6"/>
        <v>138142.41486068114</v>
      </c>
      <c r="Y50" s="25">
        <f t="shared" si="7"/>
        <v>125709.72323294307</v>
      </c>
      <c r="Z50" s="25">
        <f t="shared" si="8"/>
        <v>125.70972323294308</v>
      </c>
      <c r="AA50" s="2" t="s">
        <v>53</v>
      </c>
      <c r="AB50" s="2" t="s">
        <v>154</v>
      </c>
      <c r="AC50" s="2">
        <v>7027</v>
      </c>
      <c r="AD50" s="2"/>
      <c r="AE50" s="4"/>
    </row>
    <row r="51" spans="1:31" x14ac:dyDescent="0.25">
      <c r="A51" s="1" t="s">
        <v>26</v>
      </c>
      <c r="B51" s="1" t="s">
        <v>192</v>
      </c>
      <c r="C51" s="2">
        <v>220526148</v>
      </c>
      <c r="D51" s="2" t="s">
        <v>36</v>
      </c>
      <c r="E51" s="2">
        <v>1.5</v>
      </c>
      <c r="F51" s="15" t="s">
        <v>193</v>
      </c>
      <c r="G51" s="2" t="s">
        <v>137</v>
      </c>
      <c r="H51" s="2" t="s">
        <v>187</v>
      </c>
      <c r="I51" s="2" t="s">
        <v>194</v>
      </c>
      <c r="J51" s="2">
        <v>1465</v>
      </c>
      <c r="K51" s="2">
        <v>175</v>
      </c>
      <c r="L51" s="22">
        <f t="shared" si="0"/>
        <v>256375</v>
      </c>
      <c r="M51" s="2">
        <v>1465</v>
      </c>
      <c r="N51" s="21">
        <v>1609888.5</v>
      </c>
      <c r="O51" s="22">
        <f t="shared" si="1"/>
        <v>175</v>
      </c>
      <c r="P51" s="2">
        <f t="shared" si="2"/>
        <v>0</v>
      </c>
      <c r="Q51" s="24">
        <f t="shared" si="3"/>
        <v>3.6625000000000001</v>
      </c>
      <c r="R51" s="24">
        <f t="shared" si="4"/>
        <v>-3.6625000000000001</v>
      </c>
      <c r="S51" s="23">
        <f t="shared" si="9"/>
        <v>0</v>
      </c>
      <c r="T51" s="3">
        <v>0</v>
      </c>
      <c r="U51" s="3">
        <f t="shared" si="5"/>
        <v>0</v>
      </c>
      <c r="V51" s="2">
        <v>0</v>
      </c>
      <c r="W51" s="2">
        <f t="shared" si="10"/>
        <v>0</v>
      </c>
      <c r="X51" s="25">
        <f t="shared" si="6"/>
        <v>175</v>
      </c>
      <c r="Y51" s="25">
        <f t="shared" si="7"/>
        <v>159.25015925015924</v>
      </c>
      <c r="Z51" s="25">
        <f t="shared" si="8"/>
        <v>0.15925015925015923</v>
      </c>
      <c r="AA51" s="2" t="s">
        <v>53</v>
      </c>
      <c r="AB51" s="2" t="s">
        <v>195</v>
      </c>
      <c r="AC51" s="2">
        <v>65627</v>
      </c>
      <c r="AD51" s="2"/>
      <c r="AE51" s="4"/>
    </row>
    <row r="52" spans="1:31" x14ac:dyDescent="0.25">
      <c r="A52" s="1" t="s">
        <v>26</v>
      </c>
      <c r="B52" s="1" t="s">
        <v>35</v>
      </c>
      <c r="C52" s="2">
        <v>220526103</v>
      </c>
      <c r="D52" s="2" t="s">
        <v>36</v>
      </c>
      <c r="E52" s="2">
        <v>40</v>
      </c>
      <c r="F52" s="15" t="s">
        <v>197</v>
      </c>
      <c r="G52" s="2" t="s">
        <v>164</v>
      </c>
      <c r="H52" s="2" t="s">
        <v>198</v>
      </c>
      <c r="I52" s="2" t="s">
        <v>89</v>
      </c>
      <c r="J52" s="2">
        <v>37.28</v>
      </c>
      <c r="K52" s="2" t="s">
        <v>191</v>
      </c>
      <c r="L52" s="22">
        <f t="shared" si="0"/>
        <v>5554720</v>
      </c>
      <c r="M52" s="2">
        <v>37.21</v>
      </c>
      <c r="N52" s="21">
        <v>40890.069000000003</v>
      </c>
      <c r="O52" s="22">
        <f t="shared" si="1"/>
        <v>149280.30099435637</v>
      </c>
      <c r="P52" s="2">
        <f t="shared" si="2"/>
        <v>7.0000000000000284E-2</v>
      </c>
      <c r="Q52" s="24">
        <f t="shared" si="3"/>
        <v>9.3200000000000005E-2</v>
      </c>
      <c r="R52" s="24">
        <f t="shared" si="4"/>
        <v>-2.3199999999999721E-2</v>
      </c>
      <c r="S52" s="23">
        <f t="shared" si="9"/>
        <v>0</v>
      </c>
      <c r="T52" s="3">
        <v>3500</v>
      </c>
      <c r="U52" s="3">
        <f t="shared" si="5"/>
        <v>130235</v>
      </c>
      <c r="V52" s="2">
        <v>0</v>
      </c>
      <c r="W52" s="2">
        <f t="shared" si="10"/>
        <v>0</v>
      </c>
      <c r="X52" s="25">
        <f t="shared" si="6"/>
        <v>152780.30099435637</v>
      </c>
      <c r="Y52" s="25">
        <f t="shared" si="7"/>
        <v>139030.21293507723</v>
      </c>
      <c r="Z52" s="25">
        <f t="shared" si="8"/>
        <v>139.03021293507723</v>
      </c>
      <c r="AA52" s="2" t="s">
        <v>38</v>
      </c>
      <c r="AB52" s="2" t="s">
        <v>39</v>
      </c>
      <c r="AC52" s="2">
        <v>8419</v>
      </c>
      <c r="AD52" s="2">
        <v>2026066503</v>
      </c>
      <c r="AE52" s="4"/>
    </row>
    <row r="53" spans="1:31" x14ac:dyDescent="0.25">
      <c r="A53" s="1" t="s">
        <v>26</v>
      </c>
      <c r="B53" s="1" t="s">
        <v>61</v>
      </c>
      <c r="C53" s="2">
        <v>220526164</v>
      </c>
      <c r="D53" s="2" t="s">
        <v>36</v>
      </c>
      <c r="E53" s="2">
        <v>42</v>
      </c>
      <c r="F53" s="15" t="s">
        <v>200</v>
      </c>
      <c r="G53" s="2" t="s">
        <v>171</v>
      </c>
      <c r="H53" s="2" t="s">
        <v>201</v>
      </c>
      <c r="I53" s="2" t="s">
        <v>64</v>
      </c>
      <c r="J53" s="2">
        <v>41.734999999999999</v>
      </c>
      <c r="K53" s="2" t="s">
        <v>202</v>
      </c>
      <c r="L53" s="22">
        <f t="shared" si="0"/>
        <v>6635865</v>
      </c>
      <c r="M53" s="2">
        <v>41.5</v>
      </c>
      <c r="N53" s="21">
        <v>45604.35</v>
      </c>
      <c r="O53" s="22">
        <f t="shared" si="1"/>
        <v>159900.36144578314</v>
      </c>
      <c r="P53" s="2">
        <f t="shared" si="2"/>
        <v>0.23499999999999943</v>
      </c>
      <c r="Q53" s="24">
        <f t="shared" si="3"/>
        <v>0.1043375</v>
      </c>
      <c r="R53" s="24">
        <f t="shared" si="4"/>
        <v>0.13066249999999943</v>
      </c>
      <c r="S53" s="23">
        <f t="shared" si="9"/>
        <v>20775.337499999911</v>
      </c>
      <c r="T53" s="3">
        <v>4000</v>
      </c>
      <c r="U53" s="3">
        <f t="shared" si="5"/>
        <v>166000</v>
      </c>
      <c r="V53" s="2">
        <v>0</v>
      </c>
      <c r="W53" s="2">
        <f t="shared" si="10"/>
        <v>0</v>
      </c>
      <c r="X53" s="25">
        <f t="shared" si="6"/>
        <v>163900.36144578314</v>
      </c>
      <c r="Y53" s="25">
        <f t="shared" si="7"/>
        <v>149149.47806514072</v>
      </c>
      <c r="Z53" s="25">
        <f t="shared" si="8"/>
        <v>149.14947806514073</v>
      </c>
      <c r="AA53" s="2" t="s">
        <v>38</v>
      </c>
      <c r="AB53" s="2" t="s">
        <v>203</v>
      </c>
      <c r="AC53" s="2">
        <v>8269</v>
      </c>
      <c r="AD53" s="2">
        <v>2026066517</v>
      </c>
      <c r="AE53" s="4"/>
    </row>
    <row r="54" spans="1:31" x14ac:dyDescent="0.25">
      <c r="A54" s="1" t="s">
        <v>26</v>
      </c>
      <c r="B54" s="1" t="s">
        <v>27</v>
      </c>
      <c r="C54" s="2">
        <v>220526051</v>
      </c>
      <c r="D54" s="2" t="s">
        <v>28</v>
      </c>
      <c r="E54" s="2">
        <v>40</v>
      </c>
      <c r="F54" s="15">
        <v>192426023179</v>
      </c>
      <c r="G54" s="2" t="s">
        <v>171</v>
      </c>
      <c r="H54" s="2" t="s">
        <v>204</v>
      </c>
      <c r="I54" s="2" t="s">
        <v>106</v>
      </c>
      <c r="J54" s="2">
        <v>38.99</v>
      </c>
      <c r="K54" s="2" t="s">
        <v>139</v>
      </c>
      <c r="L54" s="22">
        <f t="shared" si="0"/>
        <v>5829005</v>
      </c>
      <c r="M54" s="2">
        <v>38.85</v>
      </c>
      <c r="N54" s="21">
        <v>42692.264999999999</v>
      </c>
      <c r="O54" s="22">
        <f t="shared" si="1"/>
        <v>150038.73873873873</v>
      </c>
      <c r="P54" s="2">
        <f t="shared" si="2"/>
        <v>0.14000000000000057</v>
      </c>
      <c r="Q54" s="24">
        <f t="shared" si="3"/>
        <v>9.7475000000000006E-2</v>
      </c>
      <c r="R54" s="24">
        <f t="shared" si="4"/>
        <v>4.2525000000000562E-2</v>
      </c>
      <c r="S54" s="23">
        <f t="shared" si="9"/>
        <v>6357.4875000000839</v>
      </c>
      <c r="T54" s="3">
        <v>0</v>
      </c>
      <c r="U54" s="3">
        <f t="shared" si="5"/>
        <v>0</v>
      </c>
      <c r="V54" s="2">
        <v>0</v>
      </c>
      <c r="W54" s="2">
        <f t="shared" si="10"/>
        <v>0</v>
      </c>
      <c r="X54" s="25">
        <f t="shared" si="6"/>
        <v>150038.73873873873</v>
      </c>
      <c r="Y54" s="25">
        <f t="shared" si="7"/>
        <v>136535.38878764104</v>
      </c>
      <c r="Z54" s="25">
        <f t="shared" si="8"/>
        <v>136.53538878764104</v>
      </c>
      <c r="AA54" s="2" t="s">
        <v>53</v>
      </c>
      <c r="AB54" s="2" t="s">
        <v>205</v>
      </c>
      <c r="AC54" s="2">
        <v>14116</v>
      </c>
      <c r="AD54" s="2">
        <v>2026066515</v>
      </c>
      <c r="AE54" s="4"/>
    </row>
    <row r="55" spans="1:31" x14ac:dyDescent="0.25">
      <c r="A55" s="1" t="s">
        <v>26</v>
      </c>
      <c r="B55" s="1" t="s">
        <v>27</v>
      </c>
      <c r="C55" s="2">
        <v>220526051</v>
      </c>
      <c r="D55" s="2" t="s">
        <v>28</v>
      </c>
      <c r="E55" s="2">
        <v>35</v>
      </c>
      <c r="F55" s="15">
        <v>192426024508</v>
      </c>
      <c r="G55" s="2" t="s">
        <v>185</v>
      </c>
      <c r="H55" s="2" t="s">
        <v>206</v>
      </c>
      <c r="I55" s="2" t="s">
        <v>106</v>
      </c>
      <c r="J55" s="2">
        <v>34.909999999999997</v>
      </c>
      <c r="K55" s="2" t="s">
        <v>139</v>
      </c>
      <c r="L55" s="22">
        <f t="shared" si="0"/>
        <v>5219044.9999999991</v>
      </c>
      <c r="M55" s="2">
        <v>34.79</v>
      </c>
      <c r="N55" s="21">
        <v>38230.731</v>
      </c>
      <c r="O55" s="22">
        <f t="shared" si="1"/>
        <v>150015.66542109801</v>
      </c>
      <c r="P55" s="2">
        <f t="shared" si="2"/>
        <v>0.11999999999999744</v>
      </c>
      <c r="Q55" s="24">
        <f t="shared" si="3"/>
        <v>8.7274999999999991E-2</v>
      </c>
      <c r="R55" s="24">
        <f t="shared" si="4"/>
        <v>3.2724999999997451E-2</v>
      </c>
      <c r="S55" s="23">
        <f t="shared" si="9"/>
        <v>4892.3874999996187</v>
      </c>
      <c r="T55" s="3">
        <v>0</v>
      </c>
      <c r="U55" s="3">
        <f t="shared" si="5"/>
        <v>0</v>
      </c>
      <c r="V55" s="2">
        <v>0</v>
      </c>
      <c r="W55" s="2">
        <f t="shared" si="10"/>
        <v>0</v>
      </c>
      <c r="X55" s="25">
        <f t="shared" si="6"/>
        <v>150015.66542109801</v>
      </c>
      <c r="Y55" s="25">
        <f t="shared" si="7"/>
        <v>136514.39204759125</v>
      </c>
      <c r="Z55" s="25">
        <f t="shared" si="8"/>
        <v>136.51439204759126</v>
      </c>
      <c r="AA55" s="2" t="s">
        <v>53</v>
      </c>
      <c r="AB55" s="2" t="s">
        <v>207</v>
      </c>
      <c r="AC55" s="2">
        <v>14123</v>
      </c>
      <c r="AD55" s="2"/>
      <c r="AE55" s="4"/>
    </row>
    <row r="56" spans="1:31" x14ac:dyDescent="0.25">
      <c r="A56" s="1" t="s">
        <v>26</v>
      </c>
      <c r="B56" s="1" t="s">
        <v>27</v>
      </c>
      <c r="C56" s="2">
        <v>220526133</v>
      </c>
      <c r="D56" s="2" t="s">
        <v>28</v>
      </c>
      <c r="E56" s="2">
        <v>40</v>
      </c>
      <c r="F56" s="15">
        <v>192426024750</v>
      </c>
      <c r="G56" s="2" t="s">
        <v>187</v>
      </c>
      <c r="H56" s="2" t="s">
        <v>208</v>
      </c>
      <c r="I56" s="2" t="s">
        <v>106</v>
      </c>
      <c r="J56" s="2">
        <v>39.65</v>
      </c>
      <c r="K56" s="2" t="s">
        <v>209</v>
      </c>
      <c r="L56" s="22">
        <f t="shared" si="0"/>
        <v>5987150</v>
      </c>
      <c r="M56" s="2">
        <v>39.5</v>
      </c>
      <c r="N56" s="21">
        <v>43406.55</v>
      </c>
      <c r="O56" s="22">
        <f t="shared" si="1"/>
        <v>151573.41772151898</v>
      </c>
      <c r="P56" s="2">
        <f t="shared" si="2"/>
        <v>0.14999999999999858</v>
      </c>
      <c r="Q56" s="24">
        <f t="shared" si="3"/>
        <v>9.9125000000000005E-2</v>
      </c>
      <c r="R56" s="24">
        <f t="shared" si="4"/>
        <v>5.0874999999998574E-2</v>
      </c>
      <c r="S56" s="23">
        <f t="shared" si="9"/>
        <v>7682.1249999997844</v>
      </c>
      <c r="T56" s="3">
        <v>0</v>
      </c>
      <c r="U56" s="3">
        <f t="shared" si="5"/>
        <v>0</v>
      </c>
      <c r="V56" s="2">
        <v>0</v>
      </c>
      <c r="W56" s="2">
        <f t="shared" si="10"/>
        <v>0</v>
      </c>
      <c r="X56" s="25">
        <f t="shared" si="6"/>
        <v>151573.41772151898</v>
      </c>
      <c r="Y56" s="25">
        <f t="shared" si="7"/>
        <v>137931.94805853034</v>
      </c>
      <c r="Z56" s="25">
        <f t="shared" si="8"/>
        <v>137.93194805853034</v>
      </c>
      <c r="AA56" s="2" t="s">
        <v>210</v>
      </c>
      <c r="AB56" s="2" t="s">
        <v>211</v>
      </c>
      <c r="AC56" s="2">
        <v>32436</v>
      </c>
      <c r="AD56" s="2">
        <v>2026066551</v>
      </c>
      <c r="AE56" s="4"/>
    </row>
    <row r="57" spans="1:31" x14ac:dyDescent="0.25">
      <c r="A57" s="1" t="s">
        <v>26</v>
      </c>
      <c r="B57" s="1" t="s">
        <v>155</v>
      </c>
      <c r="C57" s="2">
        <v>220526086</v>
      </c>
      <c r="D57" s="2" t="s">
        <v>28</v>
      </c>
      <c r="E57" s="2">
        <v>39</v>
      </c>
      <c r="F57" s="15" t="s">
        <v>212</v>
      </c>
      <c r="G57" s="2" t="s">
        <v>185</v>
      </c>
      <c r="H57" s="2" t="s">
        <v>208</v>
      </c>
      <c r="I57" s="2" t="s">
        <v>89</v>
      </c>
      <c r="J57" s="2">
        <v>38.92</v>
      </c>
      <c r="K57" s="2" t="s">
        <v>158</v>
      </c>
      <c r="L57" s="22">
        <f t="shared" si="0"/>
        <v>5740700</v>
      </c>
      <c r="M57" s="2">
        <v>38.79</v>
      </c>
      <c r="N57" s="21">
        <v>42626.330999999998</v>
      </c>
      <c r="O57" s="22">
        <f t="shared" si="1"/>
        <v>147994.32843516371</v>
      </c>
      <c r="P57" s="2">
        <f t="shared" si="2"/>
        <v>0.13000000000000256</v>
      </c>
      <c r="Q57" s="24">
        <f t="shared" si="3"/>
        <v>9.7300000000000011E-2</v>
      </c>
      <c r="R57" s="24">
        <f t="shared" si="4"/>
        <v>3.2700000000002546E-2</v>
      </c>
      <c r="S57" s="23">
        <f t="shared" si="9"/>
        <v>4823.2500000003756</v>
      </c>
      <c r="T57" s="3">
        <v>0</v>
      </c>
      <c r="U57" s="3">
        <f t="shared" si="5"/>
        <v>0</v>
      </c>
      <c r="V57" s="2">
        <v>0</v>
      </c>
      <c r="W57" s="2">
        <f t="shared" si="10"/>
        <v>0</v>
      </c>
      <c r="X57" s="25">
        <f t="shared" si="6"/>
        <v>147994.32843516371</v>
      </c>
      <c r="Y57" s="25">
        <f t="shared" si="7"/>
        <v>134674.97355097253</v>
      </c>
      <c r="Z57" s="25">
        <f t="shared" si="8"/>
        <v>134.67497355097254</v>
      </c>
      <c r="AA57" s="2" t="s">
        <v>53</v>
      </c>
      <c r="AB57" s="2" t="s">
        <v>213</v>
      </c>
      <c r="AC57" s="2">
        <v>14488</v>
      </c>
      <c r="AD57" s="2"/>
      <c r="AE57" s="4"/>
    </row>
    <row r="58" spans="1:31" x14ac:dyDescent="0.25">
      <c r="A58" s="1" t="s">
        <v>26</v>
      </c>
      <c r="B58" s="1" t="s">
        <v>61</v>
      </c>
      <c r="C58" s="2">
        <v>220526165</v>
      </c>
      <c r="D58" s="2" t="s">
        <v>36</v>
      </c>
      <c r="E58" s="2">
        <v>42</v>
      </c>
      <c r="F58" s="15" t="s">
        <v>214</v>
      </c>
      <c r="G58" s="2" t="s">
        <v>187</v>
      </c>
      <c r="H58" s="2" t="s">
        <v>215</v>
      </c>
      <c r="I58" s="2" t="s">
        <v>64</v>
      </c>
      <c r="J58" s="2">
        <v>41.64</v>
      </c>
      <c r="K58" s="2" t="s">
        <v>216</v>
      </c>
      <c r="L58" s="22">
        <f t="shared" si="0"/>
        <v>6683220</v>
      </c>
      <c r="M58" s="2">
        <v>41.3</v>
      </c>
      <c r="N58" s="21">
        <v>45384.57</v>
      </c>
      <c r="O58" s="22">
        <f t="shared" si="1"/>
        <v>161821.30750605327</v>
      </c>
      <c r="P58" s="2">
        <f t="shared" si="2"/>
        <v>0.34000000000000341</v>
      </c>
      <c r="Q58" s="24">
        <f t="shared" si="3"/>
        <v>0.1041</v>
      </c>
      <c r="R58" s="24">
        <f t="shared" si="4"/>
        <v>0.23590000000000341</v>
      </c>
      <c r="S58" s="23">
        <f t="shared" si="9"/>
        <v>37861.95000000055</v>
      </c>
      <c r="T58" s="3">
        <v>4000</v>
      </c>
      <c r="U58" s="3">
        <f t="shared" si="5"/>
        <v>165200</v>
      </c>
      <c r="V58" s="2">
        <v>0</v>
      </c>
      <c r="W58" s="2">
        <f t="shared" si="10"/>
        <v>0</v>
      </c>
      <c r="X58" s="25">
        <f t="shared" si="6"/>
        <v>165821.30750605327</v>
      </c>
      <c r="Y58" s="25">
        <f t="shared" si="7"/>
        <v>150897.54072804921</v>
      </c>
      <c r="Z58" s="25">
        <f t="shared" si="8"/>
        <v>150.89754072804919</v>
      </c>
      <c r="AA58" s="2" t="s">
        <v>38</v>
      </c>
      <c r="AB58" s="2" t="s">
        <v>168</v>
      </c>
      <c r="AC58" s="2">
        <v>8278</v>
      </c>
      <c r="AD58" s="2">
        <v>2026066565</v>
      </c>
      <c r="AE58" s="4"/>
    </row>
    <row r="59" spans="1:31" x14ac:dyDescent="0.25">
      <c r="A59" s="1" t="s">
        <v>26</v>
      </c>
      <c r="B59" s="1" t="s">
        <v>217</v>
      </c>
      <c r="C59" s="2">
        <v>220526107</v>
      </c>
      <c r="D59" s="2" t="s">
        <v>36</v>
      </c>
      <c r="E59" s="2">
        <v>42</v>
      </c>
      <c r="F59" s="15" t="s">
        <v>218</v>
      </c>
      <c r="G59" s="2" t="s">
        <v>171</v>
      </c>
      <c r="H59" s="2" t="s">
        <v>215</v>
      </c>
      <c r="I59" s="2" t="s">
        <v>37</v>
      </c>
      <c r="J59" s="2">
        <v>41.93</v>
      </c>
      <c r="K59" s="2" t="s">
        <v>219</v>
      </c>
      <c r="L59" s="22">
        <f t="shared" si="0"/>
        <v>6415290</v>
      </c>
      <c r="M59" s="2">
        <v>41.81</v>
      </c>
      <c r="N59" s="21">
        <v>45945.008999999998</v>
      </c>
      <c r="O59" s="22">
        <f t="shared" si="1"/>
        <v>153439.1293948816</v>
      </c>
      <c r="P59" s="2">
        <f t="shared" si="2"/>
        <v>0.11999999999999744</v>
      </c>
      <c r="Q59" s="24">
        <f t="shared" si="3"/>
        <v>0.104825</v>
      </c>
      <c r="R59" s="24">
        <f t="shared" si="4"/>
        <v>1.5174999999997441E-2</v>
      </c>
      <c r="S59" s="23">
        <f t="shared" si="9"/>
        <v>2321.7749999996086</v>
      </c>
      <c r="T59" s="3">
        <v>3500</v>
      </c>
      <c r="U59" s="3">
        <f t="shared" si="5"/>
        <v>146335</v>
      </c>
      <c r="V59" s="2">
        <v>50</v>
      </c>
      <c r="W59" s="2">
        <f t="shared" si="10"/>
        <v>2096.5</v>
      </c>
      <c r="X59" s="25">
        <f t="shared" si="6"/>
        <v>156989.27290121978</v>
      </c>
      <c r="Y59" s="25">
        <f t="shared" si="7"/>
        <v>142860.38120049119</v>
      </c>
      <c r="Z59" s="25">
        <f t="shared" si="8"/>
        <v>142.86038120049119</v>
      </c>
      <c r="AA59" s="2" t="s">
        <v>38</v>
      </c>
      <c r="AB59" s="2" t="s">
        <v>152</v>
      </c>
      <c r="AC59" s="2">
        <v>8423</v>
      </c>
      <c r="AD59" s="2"/>
      <c r="AE59" s="4"/>
    </row>
    <row r="60" spans="1:31" x14ac:dyDescent="0.25">
      <c r="A60" s="1" t="s">
        <v>26</v>
      </c>
      <c r="B60" s="1" t="s">
        <v>27</v>
      </c>
      <c r="C60" s="2">
        <v>220526133</v>
      </c>
      <c r="D60" s="2" t="s">
        <v>28</v>
      </c>
      <c r="E60" s="2" t="s">
        <v>220</v>
      </c>
      <c r="F60" s="15">
        <v>192426025310</v>
      </c>
      <c r="G60" s="2" t="s">
        <v>187</v>
      </c>
      <c r="H60" s="2" t="s">
        <v>221</v>
      </c>
      <c r="I60" s="2" t="s">
        <v>106</v>
      </c>
      <c r="J60" s="2">
        <v>0.6</v>
      </c>
      <c r="K60" s="2" t="s">
        <v>209</v>
      </c>
      <c r="L60" s="22">
        <f t="shared" si="0"/>
        <v>90600</v>
      </c>
      <c r="M60" s="2">
        <v>0.59699999999999998</v>
      </c>
      <c r="N60" s="21">
        <v>656.04330000000004</v>
      </c>
      <c r="O60" s="22">
        <f t="shared" si="1"/>
        <v>151758.79396984924</v>
      </c>
      <c r="P60" s="2">
        <f t="shared" si="2"/>
        <v>3.0000000000000027E-3</v>
      </c>
      <c r="Q60" s="24">
        <f t="shared" si="3"/>
        <v>1.5E-3</v>
      </c>
      <c r="R60" s="24">
        <f t="shared" si="4"/>
        <v>1.5000000000000026E-3</v>
      </c>
      <c r="S60" s="23">
        <f t="shared" si="9"/>
        <v>226.5000000000004</v>
      </c>
      <c r="T60" s="3">
        <v>0</v>
      </c>
      <c r="U60" s="3">
        <f t="shared" si="5"/>
        <v>0</v>
      </c>
      <c r="V60" s="2">
        <v>0</v>
      </c>
      <c r="W60" s="2">
        <f t="shared" si="10"/>
        <v>0</v>
      </c>
      <c r="X60" s="25">
        <f t="shared" si="6"/>
        <v>151758.79396984924</v>
      </c>
      <c r="Y60" s="25">
        <f t="shared" si="7"/>
        <v>138100.64061320343</v>
      </c>
      <c r="Z60" s="25">
        <f t="shared" si="8"/>
        <v>138.10064061320344</v>
      </c>
      <c r="AA60" s="2" t="s">
        <v>222</v>
      </c>
      <c r="AB60" s="2" t="s">
        <v>223</v>
      </c>
      <c r="AC60" s="2">
        <v>1527</v>
      </c>
      <c r="AD60" s="2">
        <v>2026066599</v>
      </c>
      <c r="AE60" s="4"/>
    </row>
    <row r="61" spans="1:31" x14ac:dyDescent="0.25">
      <c r="A61" s="5" t="s">
        <v>26</v>
      </c>
      <c r="B61" s="5" t="s">
        <v>27</v>
      </c>
      <c r="C61" s="2">
        <v>220526051</v>
      </c>
      <c r="D61" s="2" t="s">
        <v>28</v>
      </c>
      <c r="E61" s="2">
        <v>38</v>
      </c>
      <c r="F61" s="15">
        <v>192426025309</v>
      </c>
      <c r="G61" s="2" t="s">
        <v>187</v>
      </c>
      <c r="H61" s="2" t="s">
        <v>221</v>
      </c>
      <c r="I61" s="2" t="s">
        <v>106</v>
      </c>
      <c r="J61" s="2">
        <v>37.81</v>
      </c>
      <c r="K61" s="2" t="s">
        <v>139</v>
      </c>
      <c r="L61" s="22">
        <f t="shared" si="0"/>
        <v>5652595</v>
      </c>
      <c r="M61" s="2">
        <v>37.652999999999999</v>
      </c>
      <c r="N61" s="21">
        <v>41376.881699999998</v>
      </c>
      <c r="O61" s="22">
        <f t="shared" si="1"/>
        <v>150123.36334422225</v>
      </c>
      <c r="P61" s="2">
        <f t="shared" si="2"/>
        <v>0.15700000000000358</v>
      </c>
      <c r="Q61" s="24">
        <f t="shared" si="3"/>
        <v>9.4525000000000012E-2</v>
      </c>
      <c r="R61" s="24">
        <f t="shared" si="4"/>
        <v>6.2475000000003569E-2</v>
      </c>
      <c r="S61" s="23">
        <f t="shared" si="9"/>
        <v>9340.0125000005337</v>
      </c>
      <c r="T61" s="3">
        <v>0</v>
      </c>
      <c r="U61" s="3">
        <f t="shared" si="5"/>
        <v>0</v>
      </c>
      <c r="V61" s="2">
        <v>0</v>
      </c>
      <c r="W61" s="2">
        <f t="shared" si="10"/>
        <v>0</v>
      </c>
      <c r="X61" s="25">
        <f t="shared" si="6"/>
        <v>150123.36334422225</v>
      </c>
      <c r="Y61" s="25">
        <f t="shared" si="7"/>
        <v>136612.39725563952</v>
      </c>
      <c r="Z61" s="25">
        <f t="shared" si="8"/>
        <v>136.61239725563951</v>
      </c>
      <c r="AA61" s="2" t="s">
        <v>222</v>
      </c>
      <c r="AB61" s="2" t="s">
        <v>223</v>
      </c>
      <c r="AC61" s="2">
        <v>1527</v>
      </c>
      <c r="AD61" s="2">
        <v>2026066598</v>
      </c>
      <c r="AE61" s="4"/>
    </row>
    <row r="62" spans="1:31" x14ac:dyDescent="0.25">
      <c r="A62" s="1" t="s">
        <v>26</v>
      </c>
      <c r="B62" s="1" t="s">
        <v>27</v>
      </c>
      <c r="C62" s="2">
        <v>326226518</v>
      </c>
      <c r="D62" s="2" t="s">
        <v>28</v>
      </c>
      <c r="E62" s="2">
        <v>40</v>
      </c>
      <c r="F62" s="15">
        <v>190826011903</v>
      </c>
      <c r="G62" s="2" t="s">
        <v>206</v>
      </c>
      <c r="H62" s="2" t="s">
        <v>224</v>
      </c>
      <c r="I62" s="2" t="s">
        <v>51</v>
      </c>
      <c r="J62" s="2">
        <v>39.020000000000003</v>
      </c>
      <c r="K62" s="2" t="s">
        <v>52</v>
      </c>
      <c r="L62" s="22">
        <f t="shared" si="0"/>
        <v>5384760</v>
      </c>
      <c r="M62" s="2">
        <v>38.9</v>
      </c>
      <c r="N62" s="21">
        <v>42747.209999999992</v>
      </c>
      <c r="O62" s="22">
        <f t="shared" si="1"/>
        <v>138425.70694087405</v>
      </c>
      <c r="P62" s="2">
        <f t="shared" si="2"/>
        <v>0.12000000000000455</v>
      </c>
      <c r="Q62" s="24">
        <f t="shared" si="3"/>
        <v>9.7550000000000012E-2</v>
      </c>
      <c r="R62" s="24">
        <f t="shared" si="4"/>
        <v>2.2450000000004536E-2</v>
      </c>
      <c r="S62" s="23">
        <f t="shared" si="9"/>
        <v>3098.1000000006261</v>
      </c>
      <c r="T62" s="3">
        <v>0</v>
      </c>
      <c r="U62" s="3">
        <f t="shared" si="5"/>
        <v>0</v>
      </c>
      <c r="V62" s="2">
        <v>0</v>
      </c>
      <c r="W62" s="2">
        <f t="shared" si="10"/>
        <v>0</v>
      </c>
      <c r="X62" s="25">
        <f t="shared" si="6"/>
        <v>138425.70694087405</v>
      </c>
      <c r="Y62" s="25">
        <f t="shared" si="7"/>
        <v>125967.51928371468</v>
      </c>
      <c r="Z62" s="25">
        <f t="shared" si="8"/>
        <v>125.96751928371468</v>
      </c>
      <c r="AA62" s="2" t="s">
        <v>108</v>
      </c>
      <c r="AB62" s="2" t="s">
        <v>145</v>
      </c>
      <c r="AC62" s="2">
        <v>496</v>
      </c>
      <c r="AD62" s="2">
        <v>2026066602</v>
      </c>
      <c r="AE62" s="4"/>
    </row>
    <row r="63" spans="1:31" x14ac:dyDescent="0.25">
      <c r="A63" s="1" t="s">
        <v>26</v>
      </c>
      <c r="B63" s="1" t="s">
        <v>27</v>
      </c>
      <c r="C63" s="2">
        <v>220526052</v>
      </c>
      <c r="D63" s="2" t="s">
        <v>28</v>
      </c>
      <c r="E63" s="2">
        <v>40</v>
      </c>
      <c r="F63" s="15">
        <v>195226002451</v>
      </c>
      <c r="G63" s="2" t="s">
        <v>204</v>
      </c>
      <c r="H63" s="2" t="s">
        <v>224</v>
      </c>
      <c r="I63" s="2" t="s">
        <v>31</v>
      </c>
      <c r="J63" s="2">
        <v>39.96</v>
      </c>
      <c r="K63" s="2" t="s">
        <v>132</v>
      </c>
      <c r="L63" s="22">
        <f t="shared" si="0"/>
        <v>5794200</v>
      </c>
      <c r="M63" s="2">
        <v>39.96</v>
      </c>
      <c r="N63" s="21">
        <v>43912.044000000002</v>
      </c>
      <c r="O63" s="22">
        <f t="shared" si="1"/>
        <v>145000</v>
      </c>
      <c r="P63" s="2">
        <f t="shared" si="2"/>
        <v>0</v>
      </c>
      <c r="Q63" s="24">
        <f t="shared" si="3"/>
        <v>9.9900000000000003E-2</v>
      </c>
      <c r="R63" s="24">
        <f t="shared" si="4"/>
        <v>-9.9900000000000003E-2</v>
      </c>
      <c r="S63" s="23">
        <f t="shared" si="9"/>
        <v>0</v>
      </c>
      <c r="T63" s="3">
        <v>0</v>
      </c>
      <c r="U63" s="3">
        <f t="shared" si="5"/>
        <v>0</v>
      </c>
      <c r="V63" s="2">
        <v>0</v>
      </c>
      <c r="W63" s="2">
        <f t="shared" si="10"/>
        <v>0</v>
      </c>
      <c r="X63" s="25">
        <f t="shared" si="6"/>
        <v>145000</v>
      </c>
      <c r="Y63" s="25">
        <f t="shared" si="7"/>
        <v>131950.13195013194</v>
      </c>
      <c r="Z63" s="25">
        <f t="shared" si="8"/>
        <v>131.95013195013195</v>
      </c>
      <c r="AA63" s="2" t="s">
        <v>108</v>
      </c>
      <c r="AB63" s="2" t="s">
        <v>112</v>
      </c>
      <c r="AC63" s="2">
        <v>145</v>
      </c>
      <c r="AD63" s="2">
        <v>2026066609</v>
      </c>
      <c r="AE63" s="4"/>
    </row>
    <row r="64" spans="1:31" x14ac:dyDescent="0.25">
      <c r="A64" s="5" t="s">
        <v>26</v>
      </c>
      <c r="B64" s="5" t="s">
        <v>27</v>
      </c>
      <c r="C64" s="2">
        <v>220526133</v>
      </c>
      <c r="D64" s="2" t="s">
        <v>28</v>
      </c>
      <c r="E64" s="2">
        <v>41</v>
      </c>
      <c r="F64" s="15">
        <v>192426027202</v>
      </c>
      <c r="G64" s="2" t="s">
        <v>204</v>
      </c>
      <c r="H64" s="2" t="s">
        <v>221</v>
      </c>
      <c r="I64" s="2" t="s">
        <v>106</v>
      </c>
      <c r="J64" s="2">
        <v>40.119999999999997</v>
      </c>
      <c r="K64" s="2" t="s">
        <v>209</v>
      </c>
      <c r="L64" s="22">
        <f t="shared" si="0"/>
        <v>6058120</v>
      </c>
      <c r="M64" s="2">
        <v>40.020000000000003</v>
      </c>
      <c r="N64" s="21">
        <v>43977.978000000003</v>
      </c>
      <c r="O64" s="22">
        <f t="shared" si="1"/>
        <v>151377.31134432781</v>
      </c>
      <c r="P64" s="2">
        <f t="shared" si="2"/>
        <v>9.9999999999994316E-2</v>
      </c>
      <c r="Q64" s="24">
        <f t="shared" si="3"/>
        <v>0.1003</v>
      </c>
      <c r="R64" s="24">
        <f t="shared" si="4"/>
        <v>-3.0000000000568461E-4</v>
      </c>
      <c r="S64" s="23">
        <f t="shared" si="9"/>
        <v>0</v>
      </c>
      <c r="T64" s="3">
        <v>0</v>
      </c>
      <c r="U64" s="3">
        <f t="shared" si="5"/>
        <v>0</v>
      </c>
      <c r="V64" s="2">
        <v>0</v>
      </c>
      <c r="W64" s="2">
        <f t="shared" si="10"/>
        <v>0</v>
      </c>
      <c r="X64" s="25">
        <f t="shared" si="6"/>
        <v>151377.31134432781</v>
      </c>
      <c r="Y64" s="25">
        <f t="shared" si="7"/>
        <v>137753.49107682938</v>
      </c>
      <c r="Z64" s="25">
        <f t="shared" si="8"/>
        <v>137.75349107682939</v>
      </c>
      <c r="AA64" s="2" t="s">
        <v>108</v>
      </c>
      <c r="AB64" s="2" t="s">
        <v>225</v>
      </c>
      <c r="AC64" s="2">
        <v>418</v>
      </c>
      <c r="AD64" s="2">
        <v>2026066613</v>
      </c>
      <c r="AE64" s="4"/>
    </row>
    <row r="65" spans="1:31" x14ac:dyDescent="0.25">
      <c r="A65" s="1" t="s">
        <v>26</v>
      </c>
      <c r="B65" s="1" t="s">
        <v>61</v>
      </c>
      <c r="C65" s="2">
        <v>220626041</v>
      </c>
      <c r="D65" s="2" t="s">
        <v>36</v>
      </c>
      <c r="E65" s="2">
        <v>42</v>
      </c>
      <c r="F65" s="15" t="s">
        <v>226</v>
      </c>
      <c r="G65" s="2" t="s">
        <v>227</v>
      </c>
      <c r="H65" s="2" t="s">
        <v>228</v>
      </c>
      <c r="I65" s="2" t="s">
        <v>64</v>
      </c>
      <c r="J65" s="2">
        <v>41.515000000000001</v>
      </c>
      <c r="K65" s="2" t="s">
        <v>229</v>
      </c>
      <c r="L65" s="22">
        <f t="shared" si="0"/>
        <v>6683915</v>
      </c>
      <c r="M65" s="2">
        <v>41.26</v>
      </c>
      <c r="N65" s="21">
        <v>45340.613999999994</v>
      </c>
      <c r="O65" s="22">
        <f t="shared" si="1"/>
        <v>161995.03150751334</v>
      </c>
      <c r="P65" s="2">
        <f t="shared" si="2"/>
        <v>0.25500000000000256</v>
      </c>
      <c r="Q65" s="24">
        <f t="shared" si="3"/>
        <v>0.1037875</v>
      </c>
      <c r="R65" s="24">
        <f t="shared" si="4"/>
        <v>0.15121250000000255</v>
      </c>
      <c r="S65" s="23">
        <f t="shared" si="9"/>
        <v>24345.212500000413</v>
      </c>
      <c r="T65" s="3">
        <v>4000</v>
      </c>
      <c r="U65" s="3">
        <f t="shared" si="5"/>
        <v>165040</v>
      </c>
      <c r="V65" s="2">
        <v>0</v>
      </c>
      <c r="W65" s="2">
        <f t="shared" si="10"/>
        <v>0</v>
      </c>
      <c r="X65" s="25">
        <f t="shared" si="6"/>
        <v>165995.03150751334</v>
      </c>
      <c r="Y65" s="25">
        <f t="shared" si="7"/>
        <v>151055.62972746688</v>
      </c>
      <c r="Z65" s="25">
        <f t="shared" si="8"/>
        <v>151.05562972746688</v>
      </c>
      <c r="AA65" s="2" t="s">
        <v>38</v>
      </c>
      <c r="AB65" s="2" t="s">
        <v>92</v>
      </c>
      <c r="AC65" s="2">
        <v>8089</v>
      </c>
      <c r="AD65" s="2">
        <v>2026066635</v>
      </c>
      <c r="AE65" s="4"/>
    </row>
    <row r="66" spans="1:31" x14ac:dyDescent="0.25">
      <c r="A66" s="1" t="s">
        <v>26</v>
      </c>
      <c r="B66" s="1" t="s">
        <v>155</v>
      </c>
      <c r="C66" s="2">
        <v>220526086</v>
      </c>
      <c r="D66" s="2" t="s">
        <v>28</v>
      </c>
      <c r="E66" s="2">
        <v>30</v>
      </c>
      <c r="F66" s="15" t="s">
        <v>230</v>
      </c>
      <c r="G66" s="2" t="s">
        <v>231</v>
      </c>
      <c r="H66" s="2" t="s">
        <v>228</v>
      </c>
      <c r="I66" s="2" t="s">
        <v>89</v>
      </c>
      <c r="J66" s="2">
        <v>30</v>
      </c>
      <c r="K66" s="2" t="s">
        <v>158</v>
      </c>
      <c r="L66" s="22">
        <f t="shared" si="0"/>
        <v>4425000</v>
      </c>
      <c r="M66" s="2">
        <v>29.95</v>
      </c>
      <c r="N66" s="21">
        <v>32912.055</v>
      </c>
      <c r="O66" s="22">
        <f t="shared" si="1"/>
        <v>147746.24373956595</v>
      </c>
      <c r="P66" s="2">
        <f t="shared" si="2"/>
        <v>5.0000000000000711E-2</v>
      </c>
      <c r="Q66" s="24">
        <f t="shared" si="3"/>
        <v>7.4999999999999997E-2</v>
      </c>
      <c r="R66" s="24">
        <f t="shared" si="4"/>
        <v>-2.4999999999999287E-2</v>
      </c>
      <c r="S66" s="23">
        <f t="shared" si="9"/>
        <v>0</v>
      </c>
      <c r="T66" s="3">
        <v>0</v>
      </c>
      <c r="U66" s="3">
        <f t="shared" si="5"/>
        <v>0</v>
      </c>
      <c r="V66" s="2">
        <v>0</v>
      </c>
      <c r="W66" s="2">
        <f t="shared" si="10"/>
        <v>0</v>
      </c>
      <c r="X66" s="25">
        <f t="shared" si="6"/>
        <v>147746.24373956595</v>
      </c>
      <c r="Y66" s="25">
        <f t="shared" si="7"/>
        <v>134449.21625222126</v>
      </c>
      <c r="Z66" s="25">
        <f t="shared" si="8"/>
        <v>134.44921625222125</v>
      </c>
      <c r="AA66" s="2" t="s">
        <v>53</v>
      </c>
      <c r="AB66" s="2" t="s">
        <v>232</v>
      </c>
      <c r="AC66" s="2">
        <v>14490</v>
      </c>
      <c r="AD66" s="2">
        <v>2026066634</v>
      </c>
      <c r="AE66" s="4"/>
    </row>
    <row r="67" spans="1:31" x14ac:dyDescent="0.25">
      <c r="A67" s="1" t="s">
        <v>26</v>
      </c>
      <c r="B67" s="1" t="s">
        <v>155</v>
      </c>
      <c r="C67" s="2">
        <v>220626009</v>
      </c>
      <c r="D67" s="2" t="s">
        <v>28</v>
      </c>
      <c r="E67" s="2">
        <v>41</v>
      </c>
      <c r="F67" s="15" t="s">
        <v>233</v>
      </c>
      <c r="G67" s="2" t="s">
        <v>234</v>
      </c>
      <c r="H67" s="2" t="s">
        <v>228</v>
      </c>
      <c r="I67" s="2" t="s">
        <v>106</v>
      </c>
      <c r="J67" s="2">
        <v>40.26</v>
      </c>
      <c r="K67" s="2" t="s">
        <v>235</v>
      </c>
      <c r="L67" s="22">
        <f t="shared" ref="L67:L130" si="11">J67*K67</f>
        <v>6139650</v>
      </c>
      <c r="M67" s="2">
        <v>40.159999999999997</v>
      </c>
      <c r="N67" s="21">
        <v>44131.823999999993</v>
      </c>
      <c r="O67" s="22">
        <f t="shared" ref="O67:O130" si="12">L67/M67</f>
        <v>152879.73107569723</v>
      </c>
      <c r="P67" s="2">
        <f t="shared" ref="P67:P130" si="13">J67-M67</f>
        <v>0.10000000000000142</v>
      </c>
      <c r="Q67" s="24">
        <f t="shared" ref="Q67:Q130" si="14">J67*0.25%</f>
        <v>0.10065</v>
      </c>
      <c r="R67" s="24">
        <f t="shared" ref="R67:R130" si="15">P67-Q67</f>
        <v>-6.4999999999858227E-4</v>
      </c>
      <c r="S67" s="23">
        <f t="shared" si="9"/>
        <v>0</v>
      </c>
      <c r="T67" s="3">
        <v>0</v>
      </c>
      <c r="U67" s="3">
        <f t="shared" ref="U67:U130" si="16">T67*M67</f>
        <v>0</v>
      </c>
      <c r="V67" s="2">
        <v>0</v>
      </c>
      <c r="W67" s="2">
        <f t="shared" si="10"/>
        <v>0</v>
      </c>
      <c r="X67" s="25">
        <f t="shared" ref="X67:X130" si="17">(L67+U67+W67)/M67</f>
        <v>152879.73107569723</v>
      </c>
      <c r="Y67" s="25">
        <f t="shared" ref="Y67:Y130" si="18">X67/1.0989</f>
        <v>139120.69439957888</v>
      </c>
      <c r="Z67" s="25">
        <f t="shared" ref="Z67:Z130" si="19">Y67/1000</f>
        <v>139.12069439957887</v>
      </c>
      <c r="AA67" s="2" t="s">
        <v>108</v>
      </c>
      <c r="AB67" s="2" t="s">
        <v>236</v>
      </c>
      <c r="AC67" s="2">
        <v>424</v>
      </c>
      <c r="AD67" s="2">
        <v>2026066633</v>
      </c>
      <c r="AE67" s="4"/>
    </row>
    <row r="68" spans="1:31" x14ac:dyDescent="0.25">
      <c r="A68" s="1" t="s">
        <v>26</v>
      </c>
      <c r="B68" s="1" t="s">
        <v>217</v>
      </c>
      <c r="C68" s="2">
        <v>220626010</v>
      </c>
      <c r="D68" s="2" t="s">
        <v>36</v>
      </c>
      <c r="E68" s="2">
        <v>40</v>
      </c>
      <c r="F68" s="15" t="s">
        <v>237</v>
      </c>
      <c r="G68" s="2" t="s">
        <v>215</v>
      </c>
      <c r="H68" s="2" t="s">
        <v>238</v>
      </c>
      <c r="I68" s="2" t="s">
        <v>106</v>
      </c>
      <c r="J68" s="2">
        <v>39.909999999999997</v>
      </c>
      <c r="K68" s="2" t="s">
        <v>32</v>
      </c>
      <c r="L68" s="22">
        <f t="shared" si="11"/>
        <v>5866769.9999999991</v>
      </c>
      <c r="M68" s="2">
        <v>39.729999999999997</v>
      </c>
      <c r="N68" s="21">
        <v>43659.296999999999</v>
      </c>
      <c r="O68" s="22">
        <f t="shared" si="12"/>
        <v>147665.99546941856</v>
      </c>
      <c r="P68" s="2">
        <f t="shared" si="13"/>
        <v>0.17999999999999972</v>
      </c>
      <c r="Q68" s="24">
        <f t="shared" si="14"/>
        <v>9.9774999999999989E-2</v>
      </c>
      <c r="R68" s="24">
        <f t="shared" si="15"/>
        <v>8.0224999999999727E-2</v>
      </c>
      <c r="S68" s="23">
        <f t="shared" si="9"/>
        <v>11793.074999999961</v>
      </c>
      <c r="T68" s="3">
        <v>4000</v>
      </c>
      <c r="U68" s="3">
        <f t="shared" si="16"/>
        <v>158920</v>
      </c>
      <c r="V68" s="2">
        <v>50</v>
      </c>
      <c r="W68" s="2">
        <f t="shared" si="10"/>
        <v>1995.4999999999998</v>
      </c>
      <c r="X68" s="25">
        <f t="shared" si="17"/>
        <v>151716.22199848978</v>
      </c>
      <c r="Y68" s="25">
        <f t="shared" si="18"/>
        <v>138061.90008052578</v>
      </c>
      <c r="Z68" s="25">
        <f t="shared" si="19"/>
        <v>138.06190008052579</v>
      </c>
      <c r="AA68" s="2" t="s">
        <v>38</v>
      </c>
      <c r="AB68" s="2" t="s">
        <v>39</v>
      </c>
      <c r="AC68" s="2">
        <v>7960</v>
      </c>
      <c r="AD68" s="2">
        <v>2026066661</v>
      </c>
      <c r="AE68" s="4"/>
    </row>
    <row r="69" spans="1:31" x14ac:dyDescent="0.25">
      <c r="A69" s="1" t="s">
        <v>26</v>
      </c>
      <c r="B69" s="1" t="s">
        <v>155</v>
      </c>
      <c r="C69" s="2">
        <v>220626009</v>
      </c>
      <c r="D69" s="2" t="s">
        <v>28</v>
      </c>
      <c r="E69" s="2">
        <v>30</v>
      </c>
      <c r="F69" s="15" t="s">
        <v>240</v>
      </c>
      <c r="G69" s="2" t="s">
        <v>239</v>
      </c>
      <c r="H69" s="2" t="s">
        <v>241</v>
      </c>
      <c r="I69" s="2" t="s">
        <v>106</v>
      </c>
      <c r="J69" s="2">
        <v>29.42</v>
      </c>
      <c r="K69" s="2" t="s">
        <v>235</v>
      </c>
      <c r="L69" s="22">
        <f t="shared" si="11"/>
        <v>4486550</v>
      </c>
      <c r="M69" s="2">
        <v>29.39</v>
      </c>
      <c r="N69" s="21">
        <v>32296.671000000002</v>
      </c>
      <c r="O69" s="22">
        <f t="shared" si="12"/>
        <v>152655.66519224225</v>
      </c>
      <c r="P69" s="2">
        <f t="shared" si="13"/>
        <v>3.0000000000001137E-2</v>
      </c>
      <c r="Q69" s="24">
        <f t="shared" si="14"/>
        <v>7.3550000000000004E-2</v>
      </c>
      <c r="R69" s="24">
        <f t="shared" si="15"/>
        <v>-4.3549999999998867E-2</v>
      </c>
      <c r="S69" s="23">
        <f t="shared" ref="S69:S132" si="20">IF(R69&gt;0,R69*K69,0)</f>
        <v>0</v>
      </c>
      <c r="T69" s="3">
        <v>0</v>
      </c>
      <c r="U69" s="3">
        <f t="shared" si="16"/>
        <v>0</v>
      </c>
      <c r="V69" s="2">
        <v>0</v>
      </c>
      <c r="W69" s="2">
        <f t="shared" ref="W69:W132" si="21">V69*J69</f>
        <v>0</v>
      </c>
      <c r="X69" s="25">
        <f t="shared" si="17"/>
        <v>152655.66519224225</v>
      </c>
      <c r="Y69" s="25">
        <f t="shared" si="18"/>
        <v>138916.79424173469</v>
      </c>
      <c r="Z69" s="25">
        <f t="shared" si="19"/>
        <v>138.91679424173469</v>
      </c>
      <c r="AA69" s="2" t="s">
        <v>242</v>
      </c>
      <c r="AB69" s="2" t="s">
        <v>243</v>
      </c>
      <c r="AC69" s="2">
        <v>50184</v>
      </c>
      <c r="AD69" s="2">
        <v>2026066684</v>
      </c>
      <c r="AE69" s="4"/>
    </row>
    <row r="70" spans="1:31" x14ac:dyDescent="0.25">
      <c r="A70" s="1" t="s">
        <v>26</v>
      </c>
      <c r="B70" s="1" t="s">
        <v>27</v>
      </c>
      <c r="C70" s="2">
        <v>326226518</v>
      </c>
      <c r="D70" s="2" t="s">
        <v>28</v>
      </c>
      <c r="E70" s="2">
        <v>31</v>
      </c>
      <c r="F70" s="15">
        <v>190826012577</v>
      </c>
      <c r="G70" s="2" t="s">
        <v>239</v>
      </c>
      <c r="H70" s="2" t="s">
        <v>241</v>
      </c>
      <c r="I70" s="2" t="s">
        <v>51</v>
      </c>
      <c r="J70" s="2">
        <v>30.84</v>
      </c>
      <c r="K70" s="2" t="s">
        <v>52</v>
      </c>
      <c r="L70" s="22">
        <f t="shared" si="11"/>
        <v>4255920</v>
      </c>
      <c r="M70" s="2">
        <v>30.745000000000001</v>
      </c>
      <c r="N70" s="21">
        <v>33785.680499999995</v>
      </c>
      <c r="O70" s="22">
        <f t="shared" si="12"/>
        <v>138426.41079850381</v>
      </c>
      <c r="P70" s="2">
        <f t="shared" si="13"/>
        <v>9.4999999999998863E-2</v>
      </c>
      <c r="Q70" s="24">
        <f t="shared" si="14"/>
        <v>7.7100000000000002E-2</v>
      </c>
      <c r="R70" s="24">
        <f t="shared" si="15"/>
        <v>1.7899999999998861E-2</v>
      </c>
      <c r="S70" s="23">
        <f t="shared" si="20"/>
        <v>2470.1999999998429</v>
      </c>
      <c r="T70" s="3">
        <v>0</v>
      </c>
      <c r="U70" s="3">
        <f t="shared" si="16"/>
        <v>0</v>
      </c>
      <c r="V70" s="2">
        <v>0</v>
      </c>
      <c r="W70" s="2">
        <f t="shared" si="21"/>
        <v>0</v>
      </c>
      <c r="X70" s="25">
        <f t="shared" si="17"/>
        <v>138426.41079850381</v>
      </c>
      <c r="Y70" s="25">
        <f t="shared" si="18"/>
        <v>125968.15979479827</v>
      </c>
      <c r="Z70" s="25">
        <f t="shared" si="19"/>
        <v>125.96815979479827</v>
      </c>
      <c r="AA70" s="2" t="s">
        <v>53</v>
      </c>
      <c r="AB70" s="2" t="s">
        <v>140</v>
      </c>
      <c r="AC70" s="2">
        <v>14325</v>
      </c>
      <c r="AD70" s="2">
        <v>2026066705</v>
      </c>
      <c r="AE70" s="4"/>
    </row>
    <row r="71" spans="1:31" x14ac:dyDescent="0.25">
      <c r="A71" s="1" t="s">
        <v>26</v>
      </c>
      <c r="B71" s="1" t="s">
        <v>27</v>
      </c>
      <c r="C71" s="2">
        <v>220426102</v>
      </c>
      <c r="D71" s="2" t="s">
        <v>28</v>
      </c>
      <c r="E71" s="2">
        <v>9</v>
      </c>
      <c r="F71" s="15">
        <v>190826012578</v>
      </c>
      <c r="G71" s="2" t="s">
        <v>239</v>
      </c>
      <c r="H71" s="2" t="s">
        <v>241</v>
      </c>
      <c r="I71" s="2" t="s">
        <v>51</v>
      </c>
      <c r="J71" s="2">
        <v>8.24</v>
      </c>
      <c r="K71" s="2" t="s">
        <v>116</v>
      </c>
      <c r="L71" s="22">
        <f t="shared" si="11"/>
        <v>1219520</v>
      </c>
      <c r="M71" s="2">
        <v>8.2149999999999999</v>
      </c>
      <c r="N71" s="21">
        <v>9027.4634999999998</v>
      </c>
      <c r="O71" s="22">
        <f t="shared" si="12"/>
        <v>148450.39561777236</v>
      </c>
      <c r="P71" s="2">
        <f t="shared" si="13"/>
        <v>2.5000000000000355E-2</v>
      </c>
      <c r="Q71" s="24">
        <f t="shared" si="14"/>
        <v>2.06E-2</v>
      </c>
      <c r="R71" s="24">
        <f t="shared" si="15"/>
        <v>4.400000000000355E-3</v>
      </c>
      <c r="S71" s="23">
        <f t="shared" si="20"/>
        <v>651.20000000005257</v>
      </c>
      <c r="T71" s="3">
        <v>0</v>
      </c>
      <c r="U71" s="3">
        <f t="shared" si="16"/>
        <v>0</v>
      </c>
      <c r="V71" s="2">
        <v>0</v>
      </c>
      <c r="W71" s="2">
        <f t="shared" si="21"/>
        <v>0</v>
      </c>
      <c r="X71" s="25">
        <f t="shared" si="17"/>
        <v>148450.39561777236</v>
      </c>
      <c r="Y71" s="25">
        <f t="shared" si="18"/>
        <v>135089.99510216794</v>
      </c>
      <c r="Z71" s="25">
        <f t="shared" si="19"/>
        <v>135.08999510216793</v>
      </c>
      <c r="AA71" s="2" t="s">
        <v>53</v>
      </c>
      <c r="AB71" s="2" t="s">
        <v>140</v>
      </c>
      <c r="AC71" s="2">
        <v>14325</v>
      </c>
      <c r="AD71" s="2">
        <v>2026066706</v>
      </c>
      <c r="AE71" s="4"/>
    </row>
    <row r="72" spans="1:31" x14ac:dyDescent="0.25">
      <c r="A72" s="1" t="s">
        <v>26</v>
      </c>
      <c r="B72" s="1" t="s">
        <v>155</v>
      </c>
      <c r="C72" s="2">
        <v>220626009</v>
      </c>
      <c r="D72" s="2" t="s">
        <v>28</v>
      </c>
      <c r="E72" s="2">
        <v>39</v>
      </c>
      <c r="F72" s="15" t="s">
        <v>244</v>
      </c>
      <c r="G72" s="2" t="s">
        <v>238</v>
      </c>
      <c r="H72" s="2" t="s">
        <v>245</v>
      </c>
      <c r="I72" s="2" t="s">
        <v>106</v>
      </c>
      <c r="J72" s="2">
        <v>38.93</v>
      </c>
      <c r="K72" s="2" t="s">
        <v>235</v>
      </c>
      <c r="L72" s="22">
        <f t="shared" si="11"/>
        <v>5936825</v>
      </c>
      <c r="M72" s="2">
        <v>38.840000000000003</v>
      </c>
      <c r="N72" s="21">
        <v>42681.276000000005</v>
      </c>
      <c r="O72" s="22">
        <f t="shared" si="12"/>
        <v>152853.3728115345</v>
      </c>
      <c r="P72" s="2">
        <f t="shared" si="13"/>
        <v>8.9999999999996305E-2</v>
      </c>
      <c r="Q72" s="24">
        <f t="shared" si="14"/>
        <v>9.7324999999999995E-2</v>
      </c>
      <c r="R72" s="24">
        <f t="shared" si="15"/>
        <v>-7.3250000000036897E-3</v>
      </c>
      <c r="S72" s="23">
        <f t="shared" si="20"/>
        <v>0</v>
      </c>
      <c r="T72" s="3">
        <v>0</v>
      </c>
      <c r="U72" s="3">
        <f t="shared" si="16"/>
        <v>0</v>
      </c>
      <c r="V72" s="2">
        <v>0</v>
      </c>
      <c r="W72" s="2">
        <f t="shared" si="21"/>
        <v>0</v>
      </c>
      <c r="X72" s="25">
        <f t="shared" si="17"/>
        <v>152853.3728115345</v>
      </c>
      <c r="Y72" s="25">
        <f t="shared" si="18"/>
        <v>139096.70835520476</v>
      </c>
      <c r="Z72" s="25">
        <f t="shared" si="19"/>
        <v>139.09670835520475</v>
      </c>
      <c r="AA72" s="2" t="s">
        <v>108</v>
      </c>
      <c r="AB72" s="2" t="s">
        <v>188</v>
      </c>
      <c r="AC72" s="2">
        <v>435</v>
      </c>
      <c r="AD72" s="2">
        <v>2026066704</v>
      </c>
      <c r="AE72" s="4"/>
    </row>
    <row r="73" spans="1:31" x14ac:dyDescent="0.25">
      <c r="A73" s="1" t="s">
        <v>26</v>
      </c>
      <c r="B73" s="1" t="s">
        <v>217</v>
      </c>
      <c r="C73" s="2">
        <v>220626010</v>
      </c>
      <c r="D73" s="2" t="s">
        <v>36</v>
      </c>
      <c r="E73" s="2">
        <v>40</v>
      </c>
      <c r="F73" s="15" t="s">
        <v>246</v>
      </c>
      <c r="G73" s="2" t="s">
        <v>224</v>
      </c>
      <c r="H73" s="2" t="s">
        <v>245</v>
      </c>
      <c r="I73" s="2" t="s">
        <v>106</v>
      </c>
      <c r="J73" s="2">
        <v>40.159999999999997</v>
      </c>
      <c r="K73" s="2" t="s">
        <v>32</v>
      </c>
      <c r="L73" s="22">
        <f t="shared" si="11"/>
        <v>5903519.9999999991</v>
      </c>
      <c r="M73" s="2">
        <v>39.979999999999997</v>
      </c>
      <c r="N73" s="21">
        <v>43934.021999999997</v>
      </c>
      <c r="O73" s="22">
        <f t="shared" si="12"/>
        <v>147661.83091545771</v>
      </c>
      <c r="P73" s="2">
        <f t="shared" si="13"/>
        <v>0.17999999999999972</v>
      </c>
      <c r="Q73" s="24">
        <f t="shared" si="14"/>
        <v>0.10039999999999999</v>
      </c>
      <c r="R73" s="24">
        <f t="shared" si="15"/>
        <v>7.9599999999999727E-2</v>
      </c>
      <c r="S73" s="23">
        <f t="shared" si="20"/>
        <v>11701.199999999961</v>
      </c>
      <c r="T73" s="3">
        <v>4000</v>
      </c>
      <c r="U73" s="3">
        <f t="shared" si="16"/>
        <v>159920</v>
      </c>
      <c r="V73" s="2">
        <v>50</v>
      </c>
      <c r="W73" s="2">
        <f t="shared" si="21"/>
        <v>2007.9999999999998</v>
      </c>
      <c r="X73" s="25">
        <f t="shared" si="17"/>
        <v>151712.05602801399</v>
      </c>
      <c r="Y73" s="25">
        <f t="shared" si="18"/>
        <v>138058.10904360178</v>
      </c>
      <c r="Z73" s="25">
        <f t="shared" si="19"/>
        <v>138.05810904360177</v>
      </c>
      <c r="AA73" s="2" t="s">
        <v>38</v>
      </c>
      <c r="AB73" s="2" t="s">
        <v>49</v>
      </c>
      <c r="AC73" s="2">
        <v>7961</v>
      </c>
      <c r="AD73" s="2">
        <v>2026066703</v>
      </c>
      <c r="AE73" s="4"/>
    </row>
    <row r="74" spans="1:31" x14ac:dyDescent="0.25">
      <c r="A74" s="1" t="s">
        <v>26</v>
      </c>
      <c r="B74" s="1" t="s">
        <v>35</v>
      </c>
      <c r="C74" s="2">
        <v>220526103</v>
      </c>
      <c r="D74" s="2" t="s">
        <v>36</v>
      </c>
      <c r="E74" s="2">
        <v>41</v>
      </c>
      <c r="F74" s="15" t="s">
        <v>247</v>
      </c>
      <c r="G74" s="2" t="s">
        <v>224</v>
      </c>
      <c r="H74" s="2" t="s">
        <v>245</v>
      </c>
      <c r="I74" s="2" t="s">
        <v>89</v>
      </c>
      <c r="J74" s="2">
        <v>40.17</v>
      </c>
      <c r="K74" s="2" t="s">
        <v>191</v>
      </c>
      <c r="L74" s="22">
        <f t="shared" si="11"/>
        <v>5985330</v>
      </c>
      <c r="M74" s="2">
        <v>40.049999999999997</v>
      </c>
      <c r="N74" s="21">
        <v>44010.945</v>
      </c>
      <c r="O74" s="22">
        <f t="shared" si="12"/>
        <v>149446.44194756556</v>
      </c>
      <c r="P74" s="2">
        <f t="shared" si="13"/>
        <v>0.12000000000000455</v>
      </c>
      <c r="Q74" s="24">
        <f t="shared" si="14"/>
        <v>0.100425</v>
      </c>
      <c r="R74" s="24">
        <f t="shared" si="15"/>
        <v>1.9575000000004547E-2</v>
      </c>
      <c r="S74" s="23">
        <f t="shared" si="20"/>
        <v>2916.6750000006773</v>
      </c>
      <c r="T74" s="3">
        <v>3500</v>
      </c>
      <c r="U74" s="3">
        <f t="shared" si="16"/>
        <v>140175</v>
      </c>
      <c r="V74" s="2">
        <v>0</v>
      </c>
      <c r="W74" s="2">
        <f t="shared" si="21"/>
        <v>0</v>
      </c>
      <c r="X74" s="25">
        <f t="shared" si="17"/>
        <v>152946.44194756556</v>
      </c>
      <c r="Y74" s="25">
        <f t="shared" si="18"/>
        <v>139181.401353686</v>
      </c>
      <c r="Z74" s="25">
        <f t="shared" si="19"/>
        <v>139.181401353686</v>
      </c>
      <c r="AA74" s="2" t="s">
        <v>38</v>
      </c>
      <c r="AB74" s="2" t="s">
        <v>152</v>
      </c>
      <c r="AC74" s="2">
        <v>8429</v>
      </c>
      <c r="AD74" s="2">
        <v>2026066702</v>
      </c>
      <c r="AE74" s="4"/>
    </row>
    <row r="75" spans="1:31" x14ac:dyDescent="0.25">
      <c r="A75" s="1" t="s">
        <v>26</v>
      </c>
      <c r="B75" s="1" t="s">
        <v>35</v>
      </c>
      <c r="C75" s="2">
        <v>220626067</v>
      </c>
      <c r="D75" s="2" t="s">
        <v>36</v>
      </c>
      <c r="E75" s="2">
        <v>41</v>
      </c>
      <c r="F75" s="15" t="s">
        <v>248</v>
      </c>
      <c r="G75" s="2" t="s">
        <v>238</v>
      </c>
      <c r="H75" s="2" t="s">
        <v>249</v>
      </c>
      <c r="I75" s="2" t="s">
        <v>37</v>
      </c>
      <c r="J75" s="2">
        <v>41.65</v>
      </c>
      <c r="K75" s="2" t="s">
        <v>209</v>
      </c>
      <c r="L75" s="22">
        <f t="shared" si="11"/>
        <v>6289150</v>
      </c>
      <c r="M75" s="2">
        <v>41.5</v>
      </c>
      <c r="N75" s="21">
        <v>45604.35</v>
      </c>
      <c r="O75" s="22">
        <f t="shared" si="12"/>
        <v>151545.78313253011</v>
      </c>
      <c r="P75" s="2">
        <f t="shared" si="13"/>
        <v>0.14999999999999858</v>
      </c>
      <c r="Q75" s="24">
        <f t="shared" si="14"/>
        <v>0.104125</v>
      </c>
      <c r="R75" s="24">
        <f t="shared" si="15"/>
        <v>4.5874999999998584E-2</v>
      </c>
      <c r="S75" s="23">
        <f t="shared" si="20"/>
        <v>6927.1249999997863</v>
      </c>
      <c r="T75" s="3">
        <v>3500</v>
      </c>
      <c r="U75" s="3">
        <f t="shared" si="16"/>
        <v>145250</v>
      </c>
      <c r="V75" s="2">
        <v>0</v>
      </c>
      <c r="W75" s="2">
        <f t="shared" si="21"/>
        <v>0</v>
      </c>
      <c r="X75" s="25">
        <f t="shared" si="17"/>
        <v>155045.78313253011</v>
      </c>
      <c r="Y75" s="25">
        <f t="shared" si="18"/>
        <v>141091.80374240613</v>
      </c>
      <c r="Z75" s="25">
        <f t="shared" si="19"/>
        <v>141.09180374240614</v>
      </c>
      <c r="AA75" s="2" t="s">
        <v>38</v>
      </c>
      <c r="AB75" s="2" t="s">
        <v>142</v>
      </c>
      <c r="AC75" s="2">
        <v>8430</v>
      </c>
      <c r="AD75" s="2">
        <v>2026066710</v>
      </c>
      <c r="AE75" s="4"/>
    </row>
    <row r="76" spans="1:31" x14ac:dyDescent="0.25">
      <c r="A76" s="1" t="s">
        <v>26</v>
      </c>
      <c r="B76" s="1" t="s">
        <v>94</v>
      </c>
      <c r="C76" s="2">
        <v>220626012</v>
      </c>
      <c r="D76" s="2" t="s">
        <v>36</v>
      </c>
      <c r="E76" s="2" t="s">
        <v>250</v>
      </c>
      <c r="F76" s="15" t="s">
        <v>251</v>
      </c>
      <c r="G76" s="2" t="s">
        <v>239</v>
      </c>
      <c r="H76" s="2" t="s">
        <v>249</v>
      </c>
      <c r="I76" s="2" t="s">
        <v>76</v>
      </c>
      <c r="J76" s="2">
        <v>5</v>
      </c>
      <c r="K76" s="2" t="s">
        <v>252</v>
      </c>
      <c r="L76" s="22">
        <f t="shared" si="11"/>
        <v>1750000</v>
      </c>
      <c r="M76" s="2">
        <v>5</v>
      </c>
      <c r="N76" s="21">
        <v>5494.5</v>
      </c>
      <c r="O76" s="22">
        <f t="shared" si="12"/>
        <v>350000</v>
      </c>
      <c r="P76" s="2">
        <f t="shared" si="13"/>
        <v>0</v>
      </c>
      <c r="Q76" s="24">
        <f t="shared" si="14"/>
        <v>1.2500000000000001E-2</v>
      </c>
      <c r="R76" s="24">
        <f t="shared" si="15"/>
        <v>-1.2500000000000001E-2</v>
      </c>
      <c r="S76" s="23">
        <f t="shared" si="20"/>
        <v>0</v>
      </c>
      <c r="T76" s="3">
        <v>15800</v>
      </c>
      <c r="U76" s="3">
        <f t="shared" si="16"/>
        <v>79000</v>
      </c>
      <c r="V76" s="2">
        <v>0</v>
      </c>
      <c r="W76" s="2">
        <f t="shared" si="21"/>
        <v>0</v>
      </c>
      <c r="X76" s="25">
        <f t="shared" si="17"/>
        <v>365800</v>
      </c>
      <c r="Y76" s="25">
        <f t="shared" si="18"/>
        <v>332878.33287833288</v>
      </c>
      <c r="Z76" s="25">
        <f t="shared" si="19"/>
        <v>332.87833287833286</v>
      </c>
      <c r="AA76" s="2" t="s">
        <v>253</v>
      </c>
      <c r="AB76" s="2" t="s">
        <v>254</v>
      </c>
      <c r="AC76" s="2"/>
      <c r="AD76" s="2">
        <v>2026066712</v>
      </c>
      <c r="AE76" s="2">
        <v>100</v>
      </c>
    </row>
    <row r="77" spans="1:31" x14ac:dyDescent="0.25">
      <c r="A77" s="1" t="s">
        <v>26</v>
      </c>
      <c r="B77" s="1" t="s">
        <v>27</v>
      </c>
      <c r="C77" s="2">
        <v>220526133</v>
      </c>
      <c r="D77" s="2" t="s">
        <v>28</v>
      </c>
      <c r="E77" s="2">
        <v>39</v>
      </c>
      <c r="F77" s="15">
        <v>192426031463</v>
      </c>
      <c r="G77" s="2" t="s">
        <v>241</v>
      </c>
      <c r="H77" s="2" t="s">
        <v>255</v>
      </c>
      <c r="I77" s="2" t="s">
        <v>106</v>
      </c>
      <c r="J77" s="2">
        <v>38.880000000000003</v>
      </c>
      <c r="K77" s="2" t="s">
        <v>209</v>
      </c>
      <c r="L77" s="22">
        <f t="shared" si="11"/>
        <v>5870880</v>
      </c>
      <c r="M77" s="2">
        <v>38.770000000000003</v>
      </c>
      <c r="N77" s="21">
        <v>42604.353000000003</v>
      </c>
      <c r="O77" s="22">
        <f t="shared" si="12"/>
        <v>151428.42403920557</v>
      </c>
      <c r="P77" s="2">
        <f t="shared" si="13"/>
        <v>0.10999999999999943</v>
      </c>
      <c r="Q77" s="24">
        <f t="shared" si="14"/>
        <v>9.7200000000000009E-2</v>
      </c>
      <c r="R77" s="24">
        <f t="shared" si="15"/>
        <v>1.2799999999999423E-2</v>
      </c>
      <c r="S77" s="23">
        <f t="shared" si="20"/>
        <v>1932.7999999999129</v>
      </c>
      <c r="T77" s="3">
        <v>0</v>
      </c>
      <c r="U77" s="3">
        <f t="shared" si="16"/>
        <v>0</v>
      </c>
      <c r="V77" s="2">
        <v>0</v>
      </c>
      <c r="W77" s="2">
        <f t="shared" si="21"/>
        <v>0</v>
      </c>
      <c r="X77" s="25">
        <f t="shared" si="17"/>
        <v>151428.42403920557</v>
      </c>
      <c r="Y77" s="25">
        <f t="shared" si="18"/>
        <v>137800.00367568075</v>
      </c>
      <c r="Z77" s="25">
        <f t="shared" si="19"/>
        <v>137.80000367568076</v>
      </c>
      <c r="AA77" s="2" t="s">
        <v>108</v>
      </c>
      <c r="AB77" s="2" t="s">
        <v>110</v>
      </c>
      <c r="AC77" s="2">
        <v>430</v>
      </c>
      <c r="AD77" s="2">
        <v>2026066731</v>
      </c>
      <c r="AE77" s="4"/>
    </row>
    <row r="78" spans="1:31" x14ac:dyDescent="0.25">
      <c r="A78" s="1" t="s">
        <v>26</v>
      </c>
      <c r="B78" s="1" t="s">
        <v>155</v>
      </c>
      <c r="C78" s="2">
        <v>220626009</v>
      </c>
      <c r="D78" s="2" t="s">
        <v>28</v>
      </c>
      <c r="E78" s="2">
        <v>39</v>
      </c>
      <c r="F78" s="15" t="s">
        <v>256</v>
      </c>
      <c r="G78" s="2" t="s">
        <v>257</v>
      </c>
      <c r="H78" s="2" t="s">
        <v>258</v>
      </c>
      <c r="I78" s="2" t="s">
        <v>106</v>
      </c>
      <c r="J78" s="2">
        <v>39.31</v>
      </c>
      <c r="K78" s="2" t="s">
        <v>235</v>
      </c>
      <c r="L78" s="22">
        <f t="shared" si="11"/>
        <v>5994775</v>
      </c>
      <c r="M78" s="2">
        <v>39.229999999999997</v>
      </c>
      <c r="N78" s="21">
        <v>43109.846999999994</v>
      </c>
      <c r="O78" s="22">
        <f t="shared" si="12"/>
        <v>152810.98648993118</v>
      </c>
      <c r="P78" s="2">
        <f t="shared" si="13"/>
        <v>8.00000000000054E-2</v>
      </c>
      <c r="Q78" s="24">
        <f t="shared" si="14"/>
        <v>9.8275000000000001E-2</v>
      </c>
      <c r="R78" s="24">
        <f t="shared" si="15"/>
        <v>-1.8274999999994601E-2</v>
      </c>
      <c r="S78" s="23">
        <f t="shared" si="20"/>
        <v>0</v>
      </c>
      <c r="T78" s="3">
        <v>0</v>
      </c>
      <c r="U78" s="3">
        <f t="shared" si="16"/>
        <v>0</v>
      </c>
      <c r="V78" s="2">
        <v>0</v>
      </c>
      <c r="W78" s="2">
        <f t="shared" si="21"/>
        <v>0</v>
      </c>
      <c r="X78" s="25">
        <f t="shared" si="17"/>
        <v>152810.98648993118</v>
      </c>
      <c r="Y78" s="25">
        <f t="shared" si="18"/>
        <v>139058.13676397415</v>
      </c>
      <c r="Z78" s="25">
        <f t="shared" si="19"/>
        <v>139.05813676397415</v>
      </c>
      <c r="AA78" s="2" t="s">
        <v>108</v>
      </c>
      <c r="AB78" s="2" t="s">
        <v>259</v>
      </c>
      <c r="AC78" s="2">
        <v>440</v>
      </c>
      <c r="AD78" s="2">
        <v>2026066734</v>
      </c>
      <c r="AE78" s="4"/>
    </row>
    <row r="79" spans="1:31" x14ac:dyDescent="0.25">
      <c r="A79" s="1" t="s">
        <v>26</v>
      </c>
      <c r="B79" s="1" t="s">
        <v>217</v>
      </c>
      <c r="C79" s="2">
        <v>220626010</v>
      </c>
      <c r="D79" s="2" t="s">
        <v>36</v>
      </c>
      <c r="E79" s="2">
        <v>40</v>
      </c>
      <c r="F79" s="15" t="s">
        <v>260</v>
      </c>
      <c r="G79" s="2" t="s">
        <v>257</v>
      </c>
      <c r="H79" s="2" t="s">
        <v>255</v>
      </c>
      <c r="I79" s="2" t="s">
        <v>106</v>
      </c>
      <c r="J79" s="2">
        <v>39.96</v>
      </c>
      <c r="K79" s="2" t="s">
        <v>32</v>
      </c>
      <c r="L79" s="22">
        <f t="shared" si="11"/>
        <v>5874120</v>
      </c>
      <c r="M79" s="2">
        <v>39.83</v>
      </c>
      <c r="N79" s="21">
        <v>43769.186999999998</v>
      </c>
      <c r="O79" s="22">
        <f t="shared" si="12"/>
        <v>147479.78910369068</v>
      </c>
      <c r="P79" s="2">
        <f t="shared" si="13"/>
        <v>0.13000000000000256</v>
      </c>
      <c r="Q79" s="24">
        <f t="shared" si="14"/>
        <v>9.9900000000000003E-2</v>
      </c>
      <c r="R79" s="24">
        <f t="shared" si="15"/>
        <v>3.0100000000002555E-2</v>
      </c>
      <c r="S79" s="23">
        <f t="shared" si="20"/>
        <v>4424.7000000003754</v>
      </c>
      <c r="T79" s="3">
        <v>4000</v>
      </c>
      <c r="U79" s="3">
        <f t="shared" si="16"/>
        <v>159320</v>
      </c>
      <c r="V79" s="2">
        <v>50</v>
      </c>
      <c r="W79" s="2">
        <f t="shared" si="21"/>
        <v>1998</v>
      </c>
      <c r="X79" s="25">
        <f t="shared" si="17"/>
        <v>151529.95229726337</v>
      </c>
      <c r="Y79" s="25">
        <f t="shared" si="18"/>
        <v>137892.39448290414</v>
      </c>
      <c r="Z79" s="25">
        <f t="shared" si="19"/>
        <v>137.89239448290414</v>
      </c>
      <c r="AA79" s="2" t="s">
        <v>38</v>
      </c>
      <c r="AB79" s="2" t="s">
        <v>68</v>
      </c>
      <c r="AC79" s="2">
        <v>7962</v>
      </c>
      <c r="AD79" s="2">
        <v>2026066729</v>
      </c>
      <c r="AE79" s="4"/>
    </row>
    <row r="80" spans="1:31" x14ac:dyDescent="0.25">
      <c r="A80" s="1" t="s">
        <v>26</v>
      </c>
      <c r="B80" s="1" t="s">
        <v>196</v>
      </c>
      <c r="C80" s="2"/>
      <c r="D80" s="2" t="s">
        <v>36</v>
      </c>
      <c r="E80" s="2">
        <v>42</v>
      </c>
      <c r="F80" s="15" t="s">
        <v>261</v>
      </c>
      <c r="G80" s="2" t="s">
        <v>245</v>
      </c>
      <c r="H80" s="2" t="s">
        <v>249</v>
      </c>
      <c r="I80" s="2" t="s">
        <v>262</v>
      </c>
      <c r="J80" s="2">
        <v>41.98</v>
      </c>
      <c r="K80" s="2" t="s">
        <v>263</v>
      </c>
      <c r="L80" s="22">
        <f t="shared" si="11"/>
        <v>9655400</v>
      </c>
      <c r="M80" s="2">
        <v>41.98</v>
      </c>
      <c r="N80" s="21">
        <v>46131.821999999993</v>
      </c>
      <c r="O80" s="22">
        <f t="shared" si="12"/>
        <v>230000.00000000003</v>
      </c>
      <c r="P80" s="2">
        <f t="shared" si="13"/>
        <v>0</v>
      </c>
      <c r="Q80" s="24">
        <f t="shared" si="14"/>
        <v>0.10494999999999999</v>
      </c>
      <c r="R80" s="24">
        <f t="shared" si="15"/>
        <v>-0.10494999999999999</v>
      </c>
      <c r="S80" s="23">
        <f t="shared" si="20"/>
        <v>0</v>
      </c>
      <c r="T80" s="3">
        <v>4000</v>
      </c>
      <c r="U80" s="3">
        <f t="shared" si="16"/>
        <v>167920</v>
      </c>
      <c r="V80" s="2">
        <v>0</v>
      </c>
      <c r="W80" s="2">
        <f t="shared" si="21"/>
        <v>0</v>
      </c>
      <c r="X80" s="25">
        <f t="shared" si="17"/>
        <v>234000.00000000003</v>
      </c>
      <c r="Y80" s="25">
        <f t="shared" si="18"/>
        <v>212940.21294021298</v>
      </c>
      <c r="Z80" s="25">
        <f t="shared" si="19"/>
        <v>212.94021294021297</v>
      </c>
      <c r="AA80" s="2" t="s">
        <v>38</v>
      </c>
      <c r="AB80" s="2" t="s">
        <v>39</v>
      </c>
      <c r="AC80" s="2">
        <v>8497</v>
      </c>
      <c r="AD80" s="2"/>
      <c r="AE80" s="4"/>
    </row>
    <row r="81" spans="1:31" x14ac:dyDescent="0.25">
      <c r="A81" s="1" t="s">
        <v>26</v>
      </c>
      <c r="B81" s="1" t="s">
        <v>27</v>
      </c>
      <c r="C81" s="2">
        <v>220526052</v>
      </c>
      <c r="D81" s="2" t="s">
        <v>28</v>
      </c>
      <c r="E81" s="2">
        <v>36</v>
      </c>
      <c r="F81" s="15">
        <v>195226003041</v>
      </c>
      <c r="G81" s="2" t="s">
        <v>255</v>
      </c>
      <c r="H81" s="2" t="s">
        <v>258</v>
      </c>
      <c r="I81" s="2" t="s">
        <v>31</v>
      </c>
      <c r="J81" s="2">
        <v>35.82</v>
      </c>
      <c r="K81" s="2" t="s">
        <v>132</v>
      </c>
      <c r="L81" s="22">
        <f t="shared" si="11"/>
        <v>5193900</v>
      </c>
      <c r="M81" s="2">
        <v>35.82</v>
      </c>
      <c r="N81" s="21">
        <v>39362.597999999998</v>
      </c>
      <c r="O81" s="22">
        <f t="shared" si="12"/>
        <v>145000</v>
      </c>
      <c r="P81" s="2">
        <f t="shared" si="13"/>
        <v>0</v>
      </c>
      <c r="Q81" s="24">
        <f t="shared" si="14"/>
        <v>8.9550000000000005E-2</v>
      </c>
      <c r="R81" s="24">
        <f t="shared" si="15"/>
        <v>-8.9550000000000005E-2</v>
      </c>
      <c r="S81" s="23">
        <f t="shared" si="20"/>
        <v>0</v>
      </c>
      <c r="T81" s="3">
        <v>0</v>
      </c>
      <c r="U81" s="3">
        <f t="shared" si="16"/>
        <v>0</v>
      </c>
      <c r="V81" s="2">
        <v>0</v>
      </c>
      <c r="W81" s="2">
        <f t="shared" si="21"/>
        <v>0</v>
      </c>
      <c r="X81" s="25">
        <f t="shared" si="17"/>
        <v>145000</v>
      </c>
      <c r="Y81" s="25">
        <f t="shared" si="18"/>
        <v>131950.13195013194</v>
      </c>
      <c r="Z81" s="25">
        <f t="shared" si="19"/>
        <v>131.95013195013195</v>
      </c>
      <c r="AA81" s="2" t="s">
        <v>242</v>
      </c>
      <c r="AB81" s="2" t="s">
        <v>264</v>
      </c>
      <c r="AC81" s="2">
        <v>51355</v>
      </c>
      <c r="AD81" s="2">
        <v>2026066740</v>
      </c>
      <c r="AE81" s="4"/>
    </row>
    <row r="82" spans="1:31" x14ac:dyDescent="0.25">
      <c r="A82" s="1" t="s">
        <v>26</v>
      </c>
      <c r="B82" s="1" t="s">
        <v>61</v>
      </c>
      <c r="C82" s="2">
        <v>220626042</v>
      </c>
      <c r="D82" s="2" t="s">
        <v>36</v>
      </c>
      <c r="E82" s="2">
        <v>42</v>
      </c>
      <c r="F82" s="15" t="s">
        <v>265</v>
      </c>
      <c r="G82" s="2" t="s">
        <v>245</v>
      </c>
      <c r="H82" s="2" t="s">
        <v>258</v>
      </c>
      <c r="I82" s="2" t="s">
        <v>64</v>
      </c>
      <c r="J82" s="2">
        <v>41.33</v>
      </c>
      <c r="K82" s="2" t="s">
        <v>266</v>
      </c>
      <c r="L82" s="22">
        <f t="shared" si="11"/>
        <v>6695460</v>
      </c>
      <c r="M82" s="2">
        <v>40.98</v>
      </c>
      <c r="N82" s="21">
        <v>45032.921999999999</v>
      </c>
      <c r="O82" s="22">
        <f t="shared" si="12"/>
        <v>163383.60175695462</v>
      </c>
      <c r="P82" s="2">
        <f t="shared" si="13"/>
        <v>0.35000000000000142</v>
      </c>
      <c r="Q82" s="24">
        <f t="shared" si="14"/>
        <v>0.103325</v>
      </c>
      <c r="R82" s="24">
        <f t="shared" si="15"/>
        <v>0.24667500000000142</v>
      </c>
      <c r="S82" s="23">
        <f t="shared" si="20"/>
        <v>39961.350000000231</v>
      </c>
      <c r="T82" s="3">
        <v>4000</v>
      </c>
      <c r="U82" s="3">
        <f t="shared" si="16"/>
        <v>163920</v>
      </c>
      <c r="V82" s="2">
        <v>0</v>
      </c>
      <c r="W82" s="2">
        <f t="shared" si="21"/>
        <v>0</v>
      </c>
      <c r="X82" s="25">
        <f t="shared" si="17"/>
        <v>167383.60175695462</v>
      </c>
      <c r="Y82" s="25">
        <f t="shared" si="18"/>
        <v>152319.22991805864</v>
      </c>
      <c r="Z82" s="25">
        <f t="shared" si="19"/>
        <v>152.31922991805865</v>
      </c>
      <c r="AA82" s="2" t="s">
        <v>38</v>
      </c>
      <c r="AB82" s="2" t="s">
        <v>46</v>
      </c>
      <c r="AC82" s="2">
        <v>8490</v>
      </c>
      <c r="AD82" s="2">
        <v>2026066741</v>
      </c>
      <c r="AE82" s="4"/>
    </row>
    <row r="83" spans="1:31" x14ac:dyDescent="0.25">
      <c r="A83" s="1" t="s">
        <v>26</v>
      </c>
      <c r="B83" s="1" t="s">
        <v>217</v>
      </c>
      <c r="C83" s="2">
        <v>220626010</v>
      </c>
      <c r="D83" s="2" t="s">
        <v>36</v>
      </c>
      <c r="E83" s="2">
        <v>40</v>
      </c>
      <c r="F83" s="15" t="s">
        <v>267</v>
      </c>
      <c r="G83" s="2" t="s">
        <v>249</v>
      </c>
      <c r="H83" s="2" t="s">
        <v>268</v>
      </c>
      <c r="I83" s="2" t="s">
        <v>106</v>
      </c>
      <c r="J83" s="2">
        <v>39.79</v>
      </c>
      <c r="K83" s="2" t="s">
        <v>32</v>
      </c>
      <c r="L83" s="22">
        <f t="shared" si="11"/>
        <v>5849130</v>
      </c>
      <c r="M83" s="2">
        <v>39.700000000000003</v>
      </c>
      <c r="N83" s="21">
        <v>43626.33</v>
      </c>
      <c r="O83" s="22">
        <f t="shared" si="12"/>
        <v>147333.24937027707</v>
      </c>
      <c r="P83" s="2">
        <f t="shared" si="13"/>
        <v>8.9999999999996305E-2</v>
      </c>
      <c r="Q83" s="24">
        <f t="shared" si="14"/>
        <v>9.9474999999999994E-2</v>
      </c>
      <c r="R83" s="24">
        <f t="shared" si="15"/>
        <v>-9.4750000000036888E-3</v>
      </c>
      <c r="S83" s="23">
        <f t="shared" si="20"/>
        <v>0</v>
      </c>
      <c r="T83" s="3">
        <v>4000</v>
      </c>
      <c r="U83" s="3">
        <f t="shared" si="16"/>
        <v>158800</v>
      </c>
      <c r="V83" s="2">
        <v>50</v>
      </c>
      <c r="W83" s="2">
        <f t="shared" si="21"/>
        <v>1989.5</v>
      </c>
      <c r="X83" s="25">
        <f t="shared" si="17"/>
        <v>151383.36272040301</v>
      </c>
      <c r="Y83" s="25">
        <f t="shared" si="18"/>
        <v>137758.99783456456</v>
      </c>
      <c r="Z83" s="25">
        <f t="shared" si="19"/>
        <v>137.75899783456455</v>
      </c>
      <c r="AA83" s="2" t="s">
        <v>38</v>
      </c>
      <c r="AB83" s="2" t="s">
        <v>119</v>
      </c>
      <c r="AC83" s="2">
        <v>7964</v>
      </c>
      <c r="AD83" s="2">
        <v>2026066756</v>
      </c>
      <c r="AE83" s="4"/>
    </row>
    <row r="84" spans="1:31" x14ac:dyDescent="0.25">
      <c r="A84" s="1" t="s">
        <v>26</v>
      </c>
      <c r="B84" s="1" t="s">
        <v>27</v>
      </c>
      <c r="C84" s="2">
        <v>220426102</v>
      </c>
      <c r="D84" s="2" t="s">
        <v>28</v>
      </c>
      <c r="E84" s="2">
        <v>40</v>
      </c>
      <c r="F84" s="15">
        <v>190826014147</v>
      </c>
      <c r="G84" s="2" t="s">
        <v>255</v>
      </c>
      <c r="H84" s="2" t="s">
        <v>268</v>
      </c>
      <c r="I84" s="2" t="s">
        <v>51</v>
      </c>
      <c r="J84" s="2">
        <v>39.94</v>
      </c>
      <c r="K84" s="2" t="s">
        <v>116</v>
      </c>
      <c r="L84" s="22">
        <f t="shared" si="11"/>
        <v>5911120</v>
      </c>
      <c r="M84" s="2">
        <v>39.85</v>
      </c>
      <c r="N84" s="21">
        <v>43791.165000000001</v>
      </c>
      <c r="O84" s="22">
        <f t="shared" si="12"/>
        <v>148334.25345043914</v>
      </c>
      <c r="P84" s="2">
        <f t="shared" si="13"/>
        <v>8.9999999999996305E-2</v>
      </c>
      <c r="Q84" s="24">
        <f t="shared" si="14"/>
        <v>9.9849999999999994E-2</v>
      </c>
      <c r="R84" s="24">
        <f t="shared" si="15"/>
        <v>-9.8500000000036891E-3</v>
      </c>
      <c r="S84" s="23">
        <f t="shared" si="20"/>
        <v>0</v>
      </c>
      <c r="T84" s="3">
        <v>0</v>
      </c>
      <c r="U84" s="3">
        <f t="shared" si="16"/>
        <v>0</v>
      </c>
      <c r="V84" s="2">
        <v>0</v>
      </c>
      <c r="W84" s="2">
        <f t="shared" si="21"/>
        <v>0</v>
      </c>
      <c r="X84" s="25">
        <f t="shared" si="17"/>
        <v>148334.25345043914</v>
      </c>
      <c r="Y84" s="25">
        <f t="shared" si="18"/>
        <v>134984.30562420524</v>
      </c>
      <c r="Z84" s="25">
        <f t="shared" si="19"/>
        <v>134.98430562420523</v>
      </c>
      <c r="AA84" s="2" t="s">
        <v>242</v>
      </c>
      <c r="AB84" s="2" t="s">
        <v>232</v>
      </c>
      <c r="AC84" s="2">
        <v>51428</v>
      </c>
      <c r="AD84" s="2">
        <v>2026066755</v>
      </c>
      <c r="AE84" s="4"/>
    </row>
    <row r="85" spans="1:31" x14ac:dyDescent="0.25">
      <c r="A85" s="1" t="s">
        <v>26</v>
      </c>
      <c r="B85" s="1" t="s">
        <v>155</v>
      </c>
      <c r="C85" s="2">
        <v>220626009</v>
      </c>
      <c r="D85" s="2" t="s">
        <v>28</v>
      </c>
      <c r="E85" s="2">
        <v>30</v>
      </c>
      <c r="F85" s="15" t="s">
        <v>269</v>
      </c>
      <c r="G85" s="2" t="s">
        <v>245</v>
      </c>
      <c r="H85" s="2" t="s">
        <v>270</v>
      </c>
      <c r="I85" s="2" t="s">
        <v>106</v>
      </c>
      <c r="J85" s="2">
        <v>29.99</v>
      </c>
      <c r="K85" s="2" t="s">
        <v>235</v>
      </c>
      <c r="L85" s="22">
        <f t="shared" si="11"/>
        <v>4573475</v>
      </c>
      <c r="M85" s="2">
        <v>29.92</v>
      </c>
      <c r="N85" s="21">
        <v>32879.088000000003</v>
      </c>
      <c r="O85" s="22">
        <f t="shared" si="12"/>
        <v>152856.78475935827</v>
      </c>
      <c r="P85" s="2">
        <f t="shared" si="13"/>
        <v>6.9999999999996732E-2</v>
      </c>
      <c r="Q85" s="24">
        <f t="shared" si="14"/>
        <v>7.4975E-2</v>
      </c>
      <c r="R85" s="24">
        <f t="shared" si="15"/>
        <v>-4.9750000000032685E-3</v>
      </c>
      <c r="S85" s="23">
        <f t="shared" si="20"/>
        <v>0</v>
      </c>
      <c r="T85" s="3">
        <v>0</v>
      </c>
      <c r="U85" s="3">
        <f t="shared" si="16"/>
        <v>0</v>
      </c>
      <c r="V85" s="2">
        <v>0</v>
      </c>
      <c r="W85" s="2">
        <f t="shared" si="21"/>
        <v>0</v>
      </c>
      <c r="X85" s="25">
        <f t="shared" si="17"/>
        <v>152856.78475935827</v>
      </c>
      <c r="Y85" s="25">
        <f t="shared" si="18"/>
        <v>139099.81323082926</v>
      </c>
      <c r="Z85" s="25">
        <f t="shared" si="19"/>
        <v>139.09981323082926</v>
      </c>
      <c r="AA85" s="2" t="s">
        <v>242</v>
      </c>
      <c r="AB85" s="2" t="s">
        <v>271</v>
      </c>
      <c r="AC85" s="2">
        <v>50857</v>
      </c>
      <c r="AD85" s="2">
        <v>2026066775</v>
      </c>
      <c r="AE85" s="4"/>
    </row>
    <row r="86" spans="1:31" x14ac:dyDescent="0.25">
      <c r="A86" s="1" t="s">
        <v>26</v>
      </c>
      <c r="B86" s="1" t="s">
        <v>35</v>
      </c>
      <c r="C86" s="2">
        <v>220626108</v>
      </c>
      <c r="D86" s="2" t="s">
        <v>36</v>
      </c>
      <c r="E86" s="2">
        <v>40</v>
      </c>
      <c r="F86" s="15" t="s">
        <v>272</v>
      </c>
      <c r="G86" s="2" t="s">
        <v>255</v>
      </c>
      <c r="H86" s="2" t="s">
        <v>270</v>
      </c>
      <c r="I86" s="2" t="s">
        <v>89</v>
      </c>
      <c r="J86" s="2">
        <v>39.85</v>
      </c>
      <c r="K86" s="2" t="s">
        <v>172</v>
      </c>
      <c r="L86" s="22">
        <f t="shared" si="11"/>
        <v>6435775</v>
      </c>
      <c r="M86" s="2">
        <v>39.75</v>
      </c>
      <c r="N86" s="21">
        <v>43681.275000000001</v>
      </c>
      <c r="O86" s="22">
        <f t="shared" si="12"/>
        <v>161906.28930817611</v>
      </c>
      <c r="P86" s="2">
        <f t="shared" si="13"/>
        <v>0.10000000000000142</v>
      </c>
      <c r="Q86" s="24">
        <f t="shared" si="14"/>
        <v>9.9625000000000005E-2</v>
      </c>
      <c r="R86" s="24">
        <f t="shared" si="15"/>
        <v>3.7500000000141587E-4</v>
      </c>
      <c r="S86" s="23">
        <f t="shared" si="20"/>
        <v>60.56250000022866</v>
      </c>
      <c r="T86" s="3">
        <v>3500</v>
      </c>
      <c r="U86" s="3">
        <f t="shared" si="16"/>
        <v>139125</v>
      </c>
      <c r="V86" s="2">
        <v>0</v>
      </c>
      <c r="W86" s="2">
        <f t="shared" si="21"/>
        <v>0</v>
      </c>
      <c r="X86" s="25">
        <f t="shared" si="17"/>
        <v>165406.28930817611</v>
      </c>
      <c r="Y86" s="25">
        <f t="shared" si="18"/>
        <v>150519.87379031404</v>
      </c>
      <c r="Z86" s="25">
        <f t="shared" si="19"/>
        <v>150.51987379031405</v>
      </c>
      <c r="AA86" s="2" t="s">
        <v>38</v>
      </c>
      <c r="AB86" s="2" t="s">
        <v>66</v>
      </c>
      <c r="AC86" s="2">
        <v>8440</v>
      </c>
      <c r="AD86" s="2">
        <v>2026066776</v>
      </c>
      <c r="AE86" s="4"/>
    </row>
    <row r="87" spans="1:31" x14ac:dyDescent="0.25">
      <c r="A87" s="1" t="s">
        <v>26</v>
      </c>
      <c r="B87" s="1" t="s">
        <v>217</v>
      </c>
      <c r="C87" s="2">
        <v>220626010</v>
      </c>
      <c r="D87" s="2" t="s">
        <v>36</v>
      </c>
      <c r="E87" s="2">
        <v>41</v>
      </c>
      <c r="F87" s="15" t="s">
        <v>273</v>
      </c>
      <c r="G87" s="2" t="s">
        <v>249</v>
      </c>
      <c r="H87" s="2" t="s">
        <v>270</v>
      </c>
      <c r="I87" s="2" t="s">
        <v>106</v>
      </c>
      <c r="J87" s="2">
        <v>40.090000000000003</v>
      </c>
      <c r="K87" s="2" t="s">
        <v>32</v>
      </c>
      <c r="L87" s="22">
        <f t="shared" si="11"/>
        <v>5893230.0000000009</v>
      </c>
      <c r="M87" s="2">
        <v>39.979999999999997</v>
      </c>
      <c r="N87" s="21">
        <v>43934.021999999997</v>
      </c>
      <c r="O87" s="22">
        <f t="shared" si="12"/>
        <v>147404.45222611309</v>
      </c>
      <c r="P87" s="2">
        <f t="shared" si="13"/>
        <v>0.11000000000000654</v>
      </c>
      <c r="Q87" s="24">
        <f t="shared" si="14"/>
        <v>0.10022500000000001</v>
      </c>
      <c r="R87" s="24">
        <f t="shared" si="15"/>
        <v>9.7750000000065285E-3</v>
      </c>
      <c r="S87" s="23">
        <f t="shared" si="20"/>
        <v>1436.9250000009597</v>
      </c>
      <c r="T87" s="3">
        <v>4000</v>
      </c>
      <c r="U87" s="3">
        <f t="shared" si="16"/>
        <v>159920</v>
      </c>
      <c r="V87" s="2">
        <v>50</v>
      </c>
      <c r="W87" s="2">
        <f t="shared" si="21"/>
        <v>2004.5000000000002</v>
      </c>
      <c r="X87" s="25">
        <f t="shared" si="17"/>
        <v>151454.58979489747</v>
      </c>
      <c r="Y87" s="25">
        <f t="shared" si="18"/>
        <v>137823.81453717125</v>
      </c>
      <c r="Z87" s="25">
        <f t="shared" si="19"/>
        <v>137.82381453717124</v>
      </c>
      <c r="AA87" s="2" t="s">
        <v>38</v>
      </c>
      <c r="AB87" s="2" t="s">
        <v>92</v>
      </c>
      <c r="AC87" s="2">
        <v>7965</v>
      </c>
      <c r="AD87" s="2">
        <v>2026066774</v>
      </c>
      <c r="AE87" s="4"/>
    </row>
    <row r="88" spans="1:31" x14ac:dyDescent="0.25">
      <c r="A88" s="1" t="s">
        <v>26</v>
      </c>
      <c r="B88" s="1" t="s">
        <v>35</v>
      </c>
      <c r="C88" s="2">
        <v>220626108</v>
      </c>
      <c r="D88" s="2" t="s">
        <v>36</v>
      </c>
      <c r="E88" s="2">
        <v>40</v>
      </c>
      <c r="F88" s="15" t="s">
        <v>274</v>
      </c>
      <c r="G88" s="2" t="s">
        <v>258</v>
      </c>
      <c r="H88" s="2" t="s">
        <v>199</v>
      </c>
      <c r="I88" s="2" t="s">
        <v>89</v>
      </c>
      <c r="J88" s="2">
        <v>39.94</v>
      </c>
      <c r="K88" s="2" t="s">
        <v>172</v>
      </c>
      <c r="L88" s="22">
        <f t="shared" si="11"/>
        <v>6450310</v>
      </c>
      <c r="M88" s="2">
        <v>39.770000000000003</v>
      </c>
      <c r="N88" s="21">
        <v>43703.253000000004</v>
      </c>
      <c r="O88" s="22">
        <f t="shared" si="12"/>
        <v>162190.34448076438</v>
      </c>
      <c r="P88" s="2">
        <f t="shared" si="13"/>
        <v>0.1699999999999946</v>
      </c>
      <c r="Q88" s="24">
        <f t="shared" si="14"/>
        <v>9.9849999999999994E-2</v>
      </c>
      <c r="R88" s="24">
        <f t="shared" si="15"/>
        <v>7.0149999999994606E-2</v>
      </c>
      <c r="S88" s="23">
        <f t="shared" si="20"/>
        <v>11329.224999999129</v>
      </c>
      <c r="T88" s="3">
        <v>3500</v>
      </c>
      <c r="U88" s="3">
        <f t="shared" si="16"/>
        <v>139195</v>
      </c>
      <c r="V88" s="2">
        <v>0</v>
      </c>
      <c r="W88" s="2">
        <f t="shared" si="21"/>
        <v>0</v>
      </c>
      <c r="X88" s="25">
        <f t="shared" si="17"/>
        <v>165690.34448076438</v>
      </c>
      <c r="Y88" s="25">
        <f t="shared" si="18"/>
        <v>150778.36425585984</v>
      </c>
      <c r="Z88" s="25">
        <f t="shared" si="19"/>
        <v>150.77836425585983</v>
      </c>
      <c r="AA88" s="2" t="s">
        <v>38</v>
      </c>
      <c r="AB88" s="2" t="s">
        <v>41</v>
      </c>
      <c r="AC88" s="2">
        <v>8441</v>
      </c>
      <c r="AD88" s="2">
        <v>2026066783</v>
      </c>
      <c r="AE88" s="4"/>
    </row>
    <row r="89" spans="1:31" x14ac:dyDescent="0.25">
      <c r="A89" s="1" t="s">
        <v>26</v>
      </c>
      <c r="B89" s="1" t="s">
        <v>217</v>
      </c>
      <c r="C89" s="2">
        <v>220626010</v>
      </c>
      <c r="D89" s="2" t="s">
        <v>36</v>
      </c>
      <c r="E89" s="2">
        <v>41</v>
      </c>
      <c r="F89" s="15" t="s">
        <v>275</v>
      </c>
      <c r="G89" s="2" t="s">
        <v>249</v>
      </c>
      <c r="H89" s="2" t="s">
        <v>199</v>
      </c>
      <c r="I89" s="2" t="s">
        <v>106</v>
      </c>
      <c r="J89" s="2">
        <v>40.08</v>
      </c>
      <c r="K89" s="2" t="s">
        <v>32</v>
      </c>
      <c r="L89" s="22">
        <f t="shared" si="11"/>
        <v>5891760</v>
      </c>
      <c r="M89" s="2">
        <v>39.979999999999997</v>
      </c>
      <c r="N89" s="21">
        <v>43934.021999999997</v>
      </c>
      <c r="O89" s="22">
        <f t="shared" si="12"/>
        <v>147367.68384192098</v>
      </c>
      <c r="P89" s="2">
        <f t="shared" si="13"/>
        <v>0.10000000000000142</v>
      </c>
      <c r="Q89" s="24">
        <f t="shared" si="14"/>
        <v>0.1002</v>
      </c>
      <c r="R89" s="24">
        <f t="shared" si="15"/>
        <v>-1.9999999999857632E-4</v>
      </c>
      <c r="S89" s="23">
        <f t="shared" si="20"/>
        <v>0</v>
      </c>
      <c r="T89" s="3">
        <v>4000</v>
      </c>
      <c r="U89" s="3">
        <f t="shared" si="16"/>
        <v>159920</v>
      </c>
      <c r="V89" s="2">
        <v>50</v>
      </c>
      <c r="W89" s="2">
        <f t="shared" si="21"/>
        <v>2004</v>
      </c>
      <c r="X89" s="25">
        <f t="shared" si="17"/>
        <v>151417.80890445225</v>
      </c>
      <c r="Y89" s="25">
        <f t="shared" si="18"/>
        <v>137790.34389339545</v>
      </c>
      <c r="Z89" s="25">
        <f t="shared" si="19"/>
        <v>137.79034389339546</v>
      </c>
      <c r="AA89" s="2" t="s">
        <v>38</v>
      </c>
      <c r="AB89" s="2" t="s">
        <v>39</v>
      </c>
      <c r="AC89" s="2">
        <v>7963</v>
      </c>
      <c r="AD89" s="2">
        <v>2026066790</v>
      </c>
      <c r="AE89" s="4"/>
    </row>
    <row r="90" spans="1:31" x14ac:dyDescent="0.25">
      <c r="A90" s="1" t="s">
        <v>26</v>
      </c>
      <c r="B90" s="1" t="s">
        <v>35</v>
      </c>
      <c r="C90" s="2">
        <v>220626108</v>
      </c>
      <c r="D90" s="2" t="s">
        <v>36</v>
      </c>
      <c r="E90" s="2">
        <v>40</v>
      </c>
      <c r="F90" s="15" t="s">
        <v>276</v>
      </c>
      <c r="G90" s="2" t="s">
        <v>268</v>
      </c>
      <c r="H90" s="2" t="s">
        <v>277</v>
      </c>
      <c r="I90" s="2" t="s">
        <v>89</v>
      </c>
      <c r="J90" s="2">
        <v>39.4</v>
      </c>
      <c r="K90" s="2" t="s">
        <v>172</v>
      </c>
      <c r="L90" s="22">
        <f t="shared" si="11"/>
        <v>6363100</v>
      </c>
      <c r="M90" s="2">
        <v>39.24</v>
      </c>
      <c r="N90" s="21">
        <v>43120.836000000003</v>
      </c>
      <c r="O90" s="22">
        <f t="shared" si="12"/>
        <v>162158.5117227319</v>
      </c>
      <c r="P90" s="2">
        <f t="shared" si="13"/>
        <v>0.15999999999999659</v>
      </c>
      <c r="Q90" s="24">
        <f t="shared" si="14"/>
        <v>9.8500000000000004E-2</v>
      </c>
      <c r="R90" s="24">
        <f t="shared" si="15"/>
        <v>6.1499999999996585E-2</v>
      </c>
      <c r="S90" s="23">
        <f t="shared" si="20"/>
        <v>9932.2499999994488</v>
      </c>
      <c r="T90" s="3">
        <v>3500</v>
      </c>
      <c r="U90" s="3">
        <f t="shared" si="16"/>
        <v>137340</v>
      </c>
      <c r="V90" s="2">
        <v>0</v>
      </c>
      <c r="W90" s="2">
        <f t="shared" si="21"/>
        <v>0</v>
      </c>
      <c r="X90" s="25">
        <f t="shared" si="17"/>
        <v>165658.5117227319</v>
      </c>
      <c r="Y90" s="25">
        <f t="shared" si="18"/>
        <v>150749.39641708243</v>
      </c>
      <c r="Z90" s="25">
        <f t="shared" si="19"/>
        <v>150.74939641708244</v>
      </c>
      <c r="AA90" s="2" t="s">
        <v>38</v>
      </c>
      <c r="AB90" s="2" t="s">
        <v>278</v>
      </c>
      <c r="AC90" s="2">
        <v>8476</v>
      </c>
      <c r="AD90" s="2">
        <v>2026066795</v>
      </c>
      <c r="AE90" s="4"/>
    </row>
    <row r="91" spans="1:31" x14ac:dyDescent="0.25">
      <c r="A91" s="1" t="s">
        <v>26</v>
      </c>
      <c r="B91" s="1" t="s">
        <v>155</v>
      </c>
      <c r="C91" s="2">
        <v>220626009</v>
      </c>
      <c r="D91" s="2" t="s">
        <v>28</v>
      </c>
      <c r="E91" s="2">
        <v>30</v>
      </c>
      <c r="F91" s="15" t="s">
        <v>279</v>
      </c>
      <c r="G91" s="2" t="s">
        <v>258</v>
      </c>
      <c r="H91" s="2" t="s">
        <v>277</v>
      </c>
      <c r="I91" s="2" t="s">
        <v>106</v>
      </c>
      <c r="J91" s="2">
        <v>29.98</v>
      </c>
      <c r="K91" s="2" t="s">
        <v>235</v>
      </c>
      <c r="L91" s="22">
        <f t="shared" si="11"/>
        <v>4571950</v>
      </c>
      <c r="M91" s="2">
        <v>29.91</v>
      </c>
      <c r="N91" s="21">
        <v>32868.099000000002</v>
      </c>
      <c r="O91" s="22">
        <f t="shared" si="12"/>
        <v>152856.90404546974</v>
      </c>
      <c r="P91" s="2">
        <f t="shared" si="13"/>
        <v>7.0000000000000284E-2</v>
      </c>
      <c r="Q91" s="24">
        <f t="shared" si="14"/>
        <v>7.4950000000000003E-2</v>
      </c>
      <c r="R91" s="24">
        <f t="shared" si="15"/>
        <v>-4.9499999999997185E-3</v>
      </c>
      <c r="S91" s="23">
        <f t="shared" si="20"/>
        <v>0</v>
      </c>
      <c r="T91" s="3">
        <v>0</v>
      </c>
      <c r="U91" s="3">
        <f t="shared" si="16"/>
        <v>0</v>
      </c>
      <c r="V91" s="2">
        <v>0</v>
      </c>
      <c r="W91" s="2">
        <f t="shared" si="21"/>
        <v>0</v>
      </c>
      <c r="X91" s="25">
        <f t="shared" si="17"/>
        <v>152856.90404546974</v>
      </c>
      <c r="Y91" s="25">
        <f t="shared" si="18"/>
        <v>139099.92178129926</v>
      </c>
      <c r="Z91" s="25">
        <f t="shared" si="19"/>
        <v>139.09992178129926</v>
      </c>
      <c r="AA91" s="2" t="s">
        <v>242</v>
      </c>
      <c r="AB91" s="2" t="s">
        <v>280</v>
      </c>
      <c r="AC91" s="2">
        <v>50868</v>
      </c>
      <c r="AD91" s="2"/>
      <c r="AE91" s="4"/>
    </row>
    <row r="92" spans="1:31" x14ac:dyDescent="0.25">
      <c r="A92" s="1" t="s">
        <v>26</v>
      </c>
      <c r="B92" s="1" t="s">
        <v>27</v>
      </c>
      <c r="C92" s="2">
        <v>220526133</v>
      </c>
      <c r="D92" s="2" t="s">
        <v>28</v>
      </c>
      <c r="E92" s="2">
        <v>41</v>
      </c>
      <c r="F92" s="15">
        <v>192426032450</v>
      </c>
      <c r="G92" s="2" t="s">
        <v>249</v>
      </c>
      <c r="H92" s="2" t="s">
        <v>281</v>
      </c>
      <c r="I92" s="2" t="s">
        <v>106</v>
      </c>
      <c r="J92" s="2">
        <v>40.06</v>
      </c>
      <c r="K92" s="2" t="s">
        <v>209</v>
      </c>
      <c r="L92" s="22">
        <f t="shared" si="11"/>
        <v>6049060</v>
      </c>
      <c r="M92" s="2">
        <v>39.96</v>
      </c>
      <c r="N92" s="21">
        <v>43912.044000000002</v>
      </c>
      <c r="O92" s="22">
        <f t="shared" si="12"/>
        <v>151377.87787787788</v>
      </c>
      <c r="P92" s="2">
        <f t="shared" si="13"/>
        <v>0.10000000000000142</v>
      </c>
      <c r="Q92" s="24">
        <f t="shared" si="14"/>
        <v>0.10015</v>
      </c>
      <c r="R92" s="24">
        <f t="shared" si="15"/>
        <v>-1.4999999999858182E-4</v>
      </c>
      <c r="S92" s="23">
        <f t="shared" si="20"/>
        <v>0</v>
      </c>
      <c r="T92" s="3">
        <v>0</v>
      </c>
      <c r="U92" s="3">
        <f t="shared" si="16"/>
        <v>0</v>
      </c>
      <c r="V92" s="2">
        <v>0</v>
      </c>
      <c r="W92" s="2">
        <f t="shared" si="21"/>
        <v>0</v>
      </c>
      <c r="X92" s="25">
        <f t="shared" si="17"/>
        <v>151377.87787787788</v>
      </c>
      <c r="Y92" s="25">
        <f t="shared" si="18"/>
        <v>137754.00662287549</v>
      </c>
      <c r="Z92" s="25">
        <f t="shared" si="19"/>
        <v>137.75400662287549</v>
      </c>
      <c r="AA92" s="2" t="s">
        <v>210</v>
      </c>
      <c r="AB92" s="2" t="s">
        <v>282</v>
      </c>
      <c r="AC92" s="2">
        <v>33004</v>
      </c>
      <c r="AD92" s="2"/>
      <c r="AE92" s="4"/>
    </row>
    <row r="93" spans="1:31" x14ac:dyDescent="0.25">
      <c r="A93" s="1" t="s">
        <v>26</v>
      </c>
      <c r="B93" s="1" t="s">
        <v>27</v>
      </c>
      <c r="C93" s="2">
        <v>220426102</v>
      </c>
      <c r="D93" s="2" t="s">
        <v>28</v>
      </c>
      <c r="E93" s="2">
        <v>40</v>
      </c>
      <c r="F93" s="15">
        <v>190826014877</v>
      </c>
      <c r="G93" s="2" t="s">
        <v>283</v>
      </c>
      <c r="H93" s="2" t="s">
        <v>281</v>
      </c>
      <c r="I93" s="2" t="s">
        <v>51</v>
      </c>
      <c r="J93" s="2">
        <v>39.200000000000003</v>
      </c>
      <c r="K93" s="2" t="s">
        <v>116</v>
      </c>
      <c r="L93" s="22">
        <f t="shared" si="11"/>
        <v>5801600</v>
      </c>
      <c r="M93" s="2">
        <v>39.159999999999997</v>
      </c>
      <c r="N93" s="21">
        <v>43032.923999999992</v>
      </c>
      <c r="O93" s="22">
        <f t="shared" si="12"/>
        <v>148151.1746680286</v>
      </c>
      <c r="P93" s="2">
        <f t="shared" si="13"/>
        <v>4.0000000000006253E-2</v>
      </c>
      <c r="Q93" s="24">
        <f t="shared" si="14"/>
        <v>9.8000000000000004E-2</v>
      </c>
      <c r="R93" s="24">
        <f t="shared" si="15"/>
        <v>-5.7999999999993751E-2</v>
      </c>
      <c r="S93" s="23">
        <f t="shared" si="20"/>
        <v>0</v>
      </c>
      <c r="T93" s="3">
        <v>0</v>
      </c>
      <c r="U93" s="3">
        <f t="shared" si="16"/>
        <v>0</v>
      </c>
      <c r="V93" s="2">
        <v>0</v>
      </c>
      <c r="W93" s="2">
        <f t="shared" si="21"/>
        <v>0</v>
      </c>
      <c r="X93" s="25">
        <f t="shared" si="17"/>
        <v>148151.1746680286</v>
      </c>
      <c r="Y93" s="25">
        <f t="shared" si="18"/>
        <v>134817.7037656098</v>
      </c>
      <c r="Z93" s="25">
        <f t="shared" si="19"/>
        <v>134.81770376560979</v>
      </c>
      <c r="AA93" s="2" t="s">
        <v>242</v>
      </c>
      <c r="AB93" s="2" t="s">
        <v>284</v>
      </c>
      <c r="AC93" s="2">
        <v>51251</v>
      </c>
      <c r="AD93" s="2"/>
      <c r="AE93" s="4"/>
    </row>
    <row r="94" spans="1:31" x14ac:dyDescent="0.25">
      <c r="A94" s="1" t="s">
        <v>26</v>
      </c>
      <c r="B94" s="1" t="s">
        <v>35</v>
      </c>
      <c r="C94" s="2">
        <v>220626108</v>
      </c>
      <c r="D94" s="2" t="s">
        <v>36</v>
      </c>
      <c r="E94" s="2">
        <v>41</v>
      </c>
      <c r="F94" s="15" t="s">
        <v>285</v>
      </c>
      <c r="G94" s="2" t="s">
        <v>268</v>
      </c>
      <c r="H94" s="2" t="s">
        <v>281</v>
      </c>
      <c r="I94" s="2" t="s">
        <v>89</v>
      </c>
      <c r="J94" s="2">
        <v>40.119999999999997</v>
      </c>
      <c r="K94" s="2" t="s">
        <v>172</v>
      </c>
      <c r="L94" s="22">
        <f t="shared" si="11"/>
        <v>6479380</v>
      </c>
      <c r="M94" s="2">
        <v>40.01</v>
      </c>
      <c r="N94" s="21">
        <v>43966.989000000001</v>
      </c>
      <c r="O94" s="22">
        <f t="shared" si="12"/>
        <v>161944.01399650087</v>
      </c>
      <c r="P94" s="2">
        <f t="shared" si="13"/>
        <v>0.10999999999999943</v>
      </c>
      <c r="Q94" s="24">
        <f t="shared" si="14"/>
        <v>0.1003</v>
      </c>
      <c r="R94" s="24">
        <f t="shared" si="15"/>
        <v>9.6999999999994313E-3</v>
      </c>
      <c r="S94" s="23">
        <f t="shared" si="20"/>
        <v>1566.5499999999081</v>
      </c>
      <c r="T94" s="3">
        <v>3500</v>
      </c>
      <c r="U94" s="3">
        <f t="shared" si="16"/>
        <v>140035</v>
      </c>
      <c r="V94" s="2">
        <v>0</v>
      </c>
      <c r="W94" s="2">
        <f t="shared" si="21"/>
        <v>0</v>
      </c>
      <c r="X94" s="25">
        <f t="shared" si="17"/>
        <v>165444.01399650087</v>
      </c>
      <c r="Y94" s="25">
        <f t="shared" si="18"/>
        <v>150554.20329101908</v>
      </c>
      <c r="Z94" s="25">
        <f t="shared" si="19"/>
        <v>150.55420329101906</v>
      </c>
      <c r="AA94" s="2" t="s">
        <v>38</v>
      </c>
      <c r="AB94" s="2" t="s">
        <v>152</v>
      </c>
      <c r="AC94" s="2">
        <v>8442</v>
      </c>
      <c r="AD94" s="2"/>
      <c r="AE94" s="4"/>
    </row>
    <row r="95" spans="1:31" x14ac:dyDescent="0.25">
      <c r="A95" s="1" t="s">
        <v>26</v>
      </c>
      <c r="B95" s="1" t="s">
        <v>27</v>
      </c>
      <c r="C95" s="2">
        <v>220526133</v>
      </c>
      <c r="D95" s="2" t="s">
        <v>28</v>
      </c>
      <c r="E95" s="2">
        <v>40</v>
      </c>
      <c r="F95" s="15">
        <v>192426033925</v>
      </c>
      <c r="G95" s="2" t="s">
        <v>268</v>
      </c>
      <c r="H95" s="2" t="s">
        <v>286</v>
      </c>
      <c r="I95" s="2" t="s">
        <v>106</v>
      </c>
      <c r="J95" s="2">
        <v>39.18</v>
      </c>
      <c r="K95" s="2" t="s">
        <v>209</v>
      </c>
      <c r="L95" s="22">
        <f t="shared" si="11"/>
        <v>5916180</v>
      </c>
      <c r="M95" s="2">
        <v>39.049999999999997</v>
      </c>
      <c r="N95" s="21">
        <v>42912.044999999998</v>
      </c>
      <c r="O95" s="22">
        <f t="shared" si="12"/>
        <v>151502.68886043536</v>
      </c>
      <c r="P95" s="2">
        <f t="shared" si="13"/>
        <v>0.13000000000000256</v>
      </c>
      <c r="Q95" s="24">
        <f t="shared" si="14"/>
        <v>9.7949999999999995E-2</v>
      </c>
      <c r="R95" s="24">
        <f t="shared" si="15"/>
        <v>3.2050000000002563E-2</v>
      </c>
      <c r="S95" s="23">
        <f t="shared" si="20"/>
        <v>4839.5500000003867</v>
      </c>
      <c r="T95" s="3">
        <v>0</v>
      </c>
      <c r="U95" s="3">
        <f t="shared" si="16"/>
        <v>0</v>
      </c>
      <c r="V95" s="2">
        <v>0</v>
      </c>
      <c r="W95" s="2">
        <f t="shared" si="21"/>
        <v>0</v>
      </c>
      <c r="X95" s="25">
        <f t="shared" si="17"/>
        <v>151502.68886043536</v>
      </c>
      <c r="Y95" s="25">
        <f t="shared" si="18"/>
        <v>137867.58473058091</v>
      </c>
      <c r="Z95" s="25">
        <f t="shared" si="19"/>
        <v>137.86758473058092</v>
      </c>
      <c r="AA95" s="2" t="s">
        <v>53</v>
      </c>
      <c r="AB95" s="2" t="s">
        <v>159</v>
      </c>
      <c r="AC95" s="2">
        <v>14826</v>
      </c>
      <c r="AD95" s="2"/>
      <c r="AE95" s="4"/>
    </row>
    <row r="96" spans="1:31" x14ac:dyDescent="0.25">
      <c r="A96" s="1" t="s">
        <v>26</v>
      </c>
      <c r="B96" s="1" t="s">
        <v>155</v>
      </c>
      <c r="C96" s="2">
        <v>220626009</v>
      </c>
      <c r="D96" s="2" t="s">
        <v>28</v>
      </c>
      <c r="E96" s="2">
        <v>39</v>
      </c>
      <c r="F96" s="15" t="s">
        <v>287</v>
      </c>
      <c r="G96" s="2" t="s">
        <v>268</v>
      </c>
      <c r="H96" s="2" t="s">
        <v>286</v>
      </c>
      <c r="I96" s="2" t="s">
        <v>106</v>
      </c>
      <c r="J96" s="2">
        <v>38.89</v>
      </c>
      <c r="K96" s="2" t="s">
        <v>235</v>
      </c>
      <c r="L96" s="22">
        <f t="shared" si="11"/>
        <v>5930725</v>
      </c>
      <c r="M96" s="2">
        <v>38.81</v>
      </c>
      <c r="N96" s="21">
        <v>42648.309000000001</v>
      </c>
      <c r="O96" s="22">
        <f t="shared" si="12"/>
        <v>152814.35197114144</v>
      </c>
      <c r="P96" s="2">
        <f t="shared" si="13"/>
        <v>7.9999999999998295E-2</v>
      </c>
      <c r="Q96" s="24">
        <f t="shared" si="14"/>
        <v>9.7225000000000006E-2</v>
      </c>
      <c r="R96" s="24">
        <f t="shared" si="15"/>
        <v>-1.7225000000001711E-2</v>
      </c>
      <c r="S96" s="23">
        <f t="shared" si="20"/>
        <v>0</v>
      </c>
      <c r="T96" s="3">
        <v>0</v>
      </c>
      <c r="U96" s="3">
        <f t="shared" si="16"/>
        <v>0</v>
      </c>
      <c r="V96" s="2">
        <v>0</v>
      </c>
      <c r="W96" s="2">
        <f t="shared" si="21"/>
        <v>0</v>
      </c>
      <c r="X96" s="25">
        <f t="shared" si="17"/>
        <v>152814.35197114144</v>
      </c>
      <c r="Y96" s="25">
        <f t="shared" si="18"/>
        <v>139061.19935493806</v>
      </c>
      <c r="Z96" s="25">
        <f t="shared" si="19"/>
        <v>139.06119935493805</v>
      </c>
      <c r="AA96" s="2" t="s">
        <v>108</v>
      </c>
      <c r="AB96" s="2" t="s">
        <v>117</v>
      </c>
      <c r="AC96" s="2">
        <v>448</v>
      </c>
      <c r="AD96" s="2"/>
      <c r="AE96" s="4"/>
    </row>
    <row r="97" spans="1:31" x14ac:dyDescent="0.25">
      <c r="A97" s="1" t="s">
        <v>26</v>
      </c>
      <c r="B97" s="1" t="s">
        <v>35</v>
      </c>
      <c r="C97" s="2">
        <v>220626108</v>
      </c>
      <c r="D97" s="2" t="s">
        <v>36</v>
      </c>
      <c r="E97" s="2">
        <v>41</v>
      </c>
      <c r="F97" s="15" t="s">
        <v>288</v>
      </c>
      <c r="G97" s="2" t="s">
        <v>199</v>
      </c>
      <c r="H97" s="2" t="s">
        <v>286</v>
      </c>
      <c r="I97" s="2" t="s">
        <v>89</v>
      </c>
      <c r="J97" s="2">
        <v>40.61</v>
      </c>
      <c r="K97" s="2" t="s">
        <v>172</v>
      </c>
      <c r="L97" s="22">
        <f t="shared" si="11"/>
        <v>6558515</v>
      </c>
      <c r="M97" s="2">
        <v>40.54</v>
      </c>
      <c r="N97" s="21">
        <v>44549.405999999995</v>
      </c>
      <c r="O97" s="22">
        <f t="shared" si="12"/>
        <v>161778.86038480513</v>
      </c>
      <c r="P97" s="2">
        <f t="shared" si="13"/>
        <v>7.0000000000000284E-2</v>
      </c>
      <c r="Q97" s="24">
        <f t="shared" si="14"/>
        <v>0.101525</v>
      </c>
      <c r="R97" s="24">
        <f t="shared" si="15"/>
        <v>-3.152499999999972E-2</v>
      </c>
      <c r="S97" s="23">
        <f t="shared" si="20"/>
        <v>0</v>
      </c>
      <c r="T97" s="3">
        <v>3500</v>
      </c>
      <c r="U97" s="3">
        <f t="shared" si="16"/>
        <v>141890</v>
      </c>
      <c r="V97" s="2">
        <v>0</v>
      </c>
      <c r="W97" s="2">
        <f t="shared" si="21"/>
        <v>0</v>
      </c>
      <c r="X97" s="25">
        <f t="shared" si="17"/>
        <v>165278.86038480513</v>
      </c>
      <c r="Y97" s="25">
        <f t="shared" si="18"/>
        <v>150403.91335408602</v>
      </c>
      <c r="Z97" s="25">
        <f t="shared" si="19"/>
        <v>150.40391335408603</v>
      </c>
      <c r="AA97" s="2" t="s">
        <v>38</v>
      </c>
      <c r="AB97" s="2" t="s">
        <v>42</v>
      </c>
      <c r="AC97" s="2">
        <v>8443</v>
      </c>
      <c r="AD97" s="2"/>
      <c r="AE97" s="4"/>
    </row>
    <row r="98" spans="1:31" x14ac:dyDescent="0.25">
      <c r="A98" s="1" t="s">
        <v>26</v>
      </c>
      <c r="B98" s="1" t="s">
        <v>27</v>
      </c>
      <c r="C98" s="2">
        <v>220526066</v>
      </c>
      <c r="D98" s="2" t="s">
        <v>28</v>
      </c>
      <c r="E98" s="2">
        <v>39</v>
      </c>
      <c r="F98" s="15">
        <v>190826015688</v>
      </c>
      <c r="G98" s="2" t="s">
        <v>286</v>
      </c>
      <c r="H98" s="2" t="s">
        <v>289</v>
      </c>
      <c r="I98" s="2" t="s">
        <v>51</v>
      </c>
      <c r="J98" s="2">
        <v>38.9</v>
      </c>
      <c r="K98" s="2" t="s">
        <v>139</v>
      </c>
      <c r="L98" s="22">
        <f t="shared" si="11"/>
        <v>5815550</v>
      </c>
      <c r="M98" s="2">
        <v>38.770000000000003</v>
      </c>
      <c r="N98" s="21">
        <v>42604.353000000003</v>
      </c>
      <c r="O98" s="22">
        <f t="shared" si="12"/>
        <v>150001.28965695124</v>
      </c>
      <c r="P98" s="2">
        <f t="shared" si="13"/>
        <v>0.12999999999999545</v>
      </c>
      <c r="Q98" s="24">
        <f t="shared" si="14"/>
        <v>9.7250000000000003E-2</v>
      </c>
      <c r="R98" s="24">
        <f t="shared" si="15"/>
        <v>3.2749999999995449E-2</v>
      </c>
      <c r="S98" s="23">
        <f t="shared" si="20"/>
        <v>4896.1249999993197</v>
      </c>
      <c r="T98" s="3">
        <v>0</v>
      </c>
      <c r="U98" s="3">
        <f t="shared" si="16"/>
        <v>0</v>
      </c>
      <c r="V98" s="2">
        <v>0</v>
      </c>
      <c r="W98" s="2">
        <f t="shared" si="21"/>
        <v>0</v>
      </c>
      <c r="X98" s="25">
        <f t="shared" si="17"/>
        <v>150001.28965695124</v>
      </c>
      <c r="Y98" s="25">
        <f t="shared" si="18"/>
        <v>136501.31008913572</v>
      </c>
      <c r="Z98" s="25">
        <f t="shared" si="19"/>
        <v>136.50131008913573</v>
      </c>
      <c r="AA98" s="2" t="s">
        <v>53</v>
      </c>
      <c r="AB98" s="2" t="s">
        <v>290</v>
      </c>
      <c r="AC98" s="2">
        <v>14498</v>
      </c>
      <c r="AD98" s="2"/>
      <c r="AE98" s="4"/>
    </row>
    <row r="99" spans="1:31" x14ac:dyDescent="0.25">
      <c r="A99" s="1" t="s">
        <v>26</v>
      </c>
      <c r="B99" s="1" t="s">
        <v>27</v>
      </c>
      <c r="C99" s="2">
        <v>220526133</v>
      </c>
      <c r="D99" s="2" t="s">
        <v>28</v>
      </c>
      <c r="E99" s="2">
        <v>39</v>
      </c>
      <c r="F99" s="15">
        <v>192426035420</v>
      </c>
      <c r="G99" s="2" t="s">
        <v>277</v>
      </c>
      <c r="H99" s="2" t="s">
        <v>289</v>
      </c>
      <c r="I99" s="2" t="s">
        <v>106</v>
      </c>
      <c r="J99" s="2">
        <v>38.979999999999997</v>
      </c>
      <c r="K99" s="2" t="s">
        <v>209</v>
      </c>
      <c r="L99" s="22">
        <f t="shared" si="11"/>
        <v>5885979.9999999991</v>
      </c>
      <c r="M99" s="2">
        <v>38.89</v>
      </c>
      <c r="N99" s="21">
        <v>42736.220999999998</v>
      </c>
      <c r="O99" s="22">
        <f t="shared" si="12"/>
        <v>151349.44715865259</v>
      </c>
      <c r="P99" s="2">
        <f t="shared" si="13"/>
        <v>8.9999999999996305E-2</v>
      </c>
      <c r="Q99" s="24">
        <f t="shared" si="14"/>
        <v>9.7449999999999995E-2</v>
      </c>
      <c r="R99" s="24">
        <f t="shared" si="15"/>
        <v>-7.4500000000036898E-3</v>
      </c>
      <c r="S99" s="23">
        <f t="shared" si="20"/>
        <v>0</v>
      </c>
      <c r="T99" s="3">
        <v>0</v>
      </c>
      <c r="U99" s="3">
        <f t="shared" si="16"/>
        <v>0</v>
      </c>
      <c r="V99" s="2">
        <v>0</v>
      </c>
      <c r="W99" s="2">
        <f t="shared" si="21"/>
        <v>0</v>
      </c>
      <c r="X99" s="25">
        <f t="shared" si="17"/>
        <v>151349.44715865259</v>
      </c>
      <c r="Y99" s="25">
        <f t="shared" si="18"/>
        <v>137728.13464250849</v>
      </c>
      <c r="Z99" s="25">
        <f t="shared" si="19"/>
        <v>137.72813464250848</v>
      </c>
      <c r="AA99" s="2" t="s">
        <v>108</v>
      </c>
      <c r="AB99" s="2" t="s">
        <v>112</v>
      </c>
      <c r="AC99" s="2">
        <v>503</v>
      </c>
      <c r="AD99" s="2"/>
      <c r="AE99" s="4"/>
    </row>
    <row r="100" spans="1:31" x14ac:dyDescent="0.25">
      <c r="A100" s="1" t="s">
        <v>26</v>
      </c>
      <c r="B100" s="1" t="s">
        <v>291</v>
      </c>
      <c r="C100" s="2">
        <v>220626100</v>
      </c>
      <c r="D100" s="2" t="s">
        <v>36</v>
      </c>
      <c r="E100" s="2" t="s">
        <v>250</v>
      </c>
      <c r="F100" s="15" t="s">
        <v>292</v>
      </c>
      <c r="G100" s="2" t="s">
        <v>293</v>
      </c>
      <c r="H100" s="2" t="s">
        <v>289</v>
      </c>
      <c r="I100" s="2" t="s">
        <v>76</v>
      </c>
      <c r="J100" s="2">
        <v>5</v>
      </c>
      <c r="K100" s="2" t="s">
        <v>294</v>
      </c>
      <c r="L100" s="22">
        <f t="shared" si="11"/>
        <v>1000000</v>
      </c>
      <c r="M100" s="2">
        <v>5</v>
      </c>
      <c r="N100" s="21">
        <v>5494.5</v>
      </c>
      <c r="O100" s="22">
        <f t="shared" si="12"/>
        <v>200000</v>
      </c>
      <c r="P100" s="2">
        <f t="shared" si="13"/>
        <v>0</v>
      </c>
      <c r="Q100" s="24">
        <f t="shared" si="14"/>
        <v>1.2500000000000001E-2</v>
      </c>
      <c r="R100" s="24">
        <f t="shared" si="15"/>
        <v>-1.2500000000000001E-2</v>
      </c>
      <c r="S100" s="23">
        <f t="shared" si="20"/>
        <v>0</v>
      </c>
      <c r="T100" s="3">
        <v>13020</v>
      </c>
      <c r="U100" s="3">
        <f t="shared" si="16"/>
        <v>65100</v>
      </c>
      <c r="V100" s="2">
        <v>0</v>
      </c>
      <c r="W100" s="2">
        <f t="shared" si="21"/>
        <v>0</v>
      </c>
      <c r="X100" s="25">
        <f t="shared" si="17"/>
        <v>213020</v>
      </c>
      <c r="Y100" s="25">
        <f t="shared" si="18"/>
        <v>193848.39384839384</v>
      </c>
      <c r="Z100" s="25">
        <f t="shared" si="19"/>
        <v>193.84839384839384</v>
      </c>
      <c r="AA100" s="2" t="s">
        <v>97</v>
      </c>
      <c r="AB100" s="2" t="s">
        <v>98</v>
      </c>
      <c r="AC100" s="2"/>
      <c r="AD100" s="2"/>
      <c r="AE100" s="2">
        <v>100</v>
      </c>
    </row>
    <row r="101" spans="1:31" x14ac:dyDescent="0.25">
      <c r="A101" s="1" t="s">
        <v>26</v>
      </c>
      <c r="B101" s="1" t="s">
        <v>27</v>
      </c>
      <c r="C101" s="2">
        <v>220426102</v>
      </c>
      <c r="D101" s="2" t="s">
        <v>28</v>
      </c>
      <c r="E101" s="2">
        <v>35</v>
      </c>
      <c r="F101" s="15">
        <v>190826015192</v>
      </c>
      <c r="G101" s="2" t="s">
        <v>277</v>
      </c>
      <c r="H101" s="2" t="s">
        <v>295</v>
      </c>
      <c r="I101" s="2" t="s">
        <v>51</v>
      </c>
      <c r="J101" s="2">
        <v>34.96</v>
      </c>
      <c r="K101" s="2" t="s">
        <v>116</v>
      </c>
      <c r="L101" s="22">
        <f t="shared" si="11"/>
        <v>5174080</v>
      </c>
      <c r="M101" s="2">
        <v>34.92</v>
      </c>
      <c r="N101" s="21">
        <v>38373.587999999996</v>
      </c>
      <c r="O101" s="22">
        <f t="shared" si="12"/>
        <v>148169.53035509735</v>
      </c>
      <c r="P101" s="2">
        <f t="shared" si="13"/>
        <v>3.9999999999999147E-2</v>
      </c>
      <c r="Q101" s="24">
        <f t="shared" si="14"/>
        <v>8.7400000000000005E-2</v>
      </c>
      <c r="R101" s="24">
        <f t="shared" si="15"/>
        <v>-4.7400000000000858E-2</v>
      </c>
      <c r="S101" s="23">
        <f t="shared" si="20"/>
        <v>0</v>
      </c>
      <c r="T101" s="3">
        <v>0</v>
      </c>
      <c r="U101" s="3">
        <f t="shared" si="16"/>
        <v>0</v>
      </c>
      <c r="V101" s="2">
        <v>0</v>
      </c>
      <c r="W101" s="2">
        <f t="shared" si="21"/>
        <v>0</v>
      </c>
      <c r="X101" s="25">
        <f t="shared" si="17"/>
        <v>148169.53035509735</v>
      </c>
      <c r="Y101" s="25">
        <f t="shared" si="18"/>
        <v>134834.40745754604</v>
      </c>
      <c r="Z101" s="25">
        <f t="shared" si="19"/>
        <v>134.83440745754604</v>
      </c>
      <c r="AA101" s="2" t="s">
        <v>242</v>
      </c>
      <c r="AB101" s="2" t="s">
        <v>296</v>
      </c>
      <c r="AC101" s="2">
        <v>50164</v>
      </c>
      <c r="AD101" s="2"/>
      <c r="AE101" s="4"/>
    </row>
    <row r="102" spans="1:31" x14ac:dyDescent="0.25">
      <c r="A102" s="1" t="s">
        <v>26</v>
      </c>
      <c r="B102" s="1" t="s">
        <v>217</v>
      </c>
      <c r="C102" s="2">
        <v>220626135</v>
      </c>
      <c r="D102" s="2" t="s">
        <v>36</v>
      </c>
      <c r="E102" s="2">
        <v>40</v>
      </c>
      <c r="F102" s="15" t="s">
        <v>297</v>
      </c>
      <c r="G102" s="2" t="s">
        <v>298</v>
      </c>
      <c r="H102" s="2" t="s">
        <v>295</v>
      </c>
      <c r="I102" s="2" t="s">
        <v>106</v>
      </c>
      <c r="J102" s="2">
        <v>39.880000000000003</v>
      </c>
      <c r="K102" s="2" t="s">
        <v>299</v>
      </c>
      <c r="L102" s="22">
        <f t="shared" si="11"/>
        <v>5678912</v>
      </c>
      <c r="M102" s="2">
        <v>39.81</v>
      </c>
      <c r="N102" s="21">
        <v>43747.209000000003</v>
      </c>
      <c r="O102" s="22">
        <f t="shared" si="12"/>
        <v>142650.3893494097</v>
      </c>
      <c r="P102" s="2">
        <f t="shared" si="13"/>
        <v>7.0000000000000284E-2</v>
      </c>
      <c r="Q102" s="24">
        <f t="shared" si="14"/>
        <v>9.9700000000000011E-2</v>
      </c>
      <c r="R102" s="24">
        <f t="shared" si="15"/>
        <v>-2.9699999999999727E-2</v>
      </c>
      <c r="S102" s="23">
        <f t="shared" si="20"/>
        <v>0</v>
      </c>
      <c r="T102" s="3">
        <v>4000</v>
      </c>
      <c r="U102" s="3">
        <f t="shared" si="16"/>
        <v>159240</v>
      </c>
      <c r="V102" s="2">
        <v>50</v>
      </c>
      <c r="W102" s="2">
        <f t="shared" si="21"/>
        <v>1994.0000000000002</v>
      </c>
      <c r="X102" s="25">
        <f t="shared" si="17"/>
        <v>146700.47726701832</v>
      </c>
      <c r="Y102" s="25">
        <f t="shared" si="18"/>
        <v>133497.56781055446</v>
      </c>
      <c r="Z102" s="25">
        <f t="shared" si="19"/>
        <v>133.49756781055447</v>
      </c>
      <c r="AA102" s="2" t="s">
        <v>38</v>
      </c>
      <c r="AB102" s="2" t="s">
        <v>81</v>
      </c>
      <c r="AC102" s="2">
        <v>7966</v>
      </c>
      <c r="AD102" s="2"/>
      <c r="AE102" s="4"/>
    </row>
    <row r="103" spans="1:31" x14ac:dyDescent="0.25">
      <c r="A103" s="1" t="s">
        <v>26</v>
      </c>
      <c r="B103" s="1" t="s">
        <v>155</v>
      </c>
      <c r="C103" s="2">
        <v>220626144</v>
      </c>
      <c r="D103" s="2" t="s">
        <v>28</v>
      </c>
      <c r="E103" s="2">
        <v>31</v>
      </c>
      <c r="F103" s="15" t="s">
        <v>300</v>
      </c>
      <c r="G103" s="2" t="s">
        <v>301</v>
      </c>
      <c r="H103" s="2" t="s">
        <v>302</v>
      </c>
      <c r="I103" s="2" t="s">
        <v>64</v>
      </c>
      <c r="J103" s="2">
        <v>30.09</v>
      </c>
      <c r="K103" s="2" t="s">
        <v>229</v>
      </c>
      <c r="L103" s="22">
        <f t="shared" si="11"/>
        <v>4844490</v>
      </c>
      <c r="M103" s="2">
        <v>29.9</v>
      </c>
      <c r="N103" s="21">
        <v>32857.11</v>
      </c>
      <c r="O103" s="22">
        <f t="shared" si="12"/>
        <v>162023.07692307694</v>
      </c>
      <c r="P103" s="2">
        <f t="shared" si="13"/>
        <v>0.19000000000000128</v>
      </c>
      <c r="Q103" s="24">
        <f t="shared" si="14"/>
        <v>7.5225E-2</v>
      </c>
      <c r="R103" s="24">
        <f t="shared" si="15"/>
        <v>0.11477500000000128</v>
      </c>
      <c r="S103" s="23">
        <f t="shared" si="20"/>
        <v>18478.775000000205</v>
      </c>
      <c r="T103" s="3">
        <v>0</v>
      </c>
      <c r="U103" s="3">
        <f t="shared" si="16"/>
        <v>0</v>
      </c>
      <c r="V103" s="2">
        <v>0</v>
      </c>
      <c r="W103" s="2">
        <f t="shared" si="21"/>
        <v>0</v>
      </c>
      <c r="X103" s="25">
        <f t="shared" si="17"/>
        <v>162023.07692307694</v>
      </c>
      <c r="Y103" s="25">
        <f t="shared" si="18"/>
        <v>147441.14744114745</v>
      </c>
      <c r="Z103" s="25">
        <f t="shared" si="19"/>
        <v>147.44114744114745</v>
      </c>
      <c r="AA103" s="2" t="s">
        <v>242</v>
      </c>
      <c r="AB103" s="2" t="s">
        <v>280</v>
      </c>
      <c r="AC103" s="2">
        <v>51430</v>
      </c>
      <c r="AD103" s="2"/>
      <c r="AE103" s="4"/>
    </row>
    <row r="104" spans="1:31" x14ac:dyDescent="0.25">
      <c r="A104" s="1" t="s">
        <v>26</v>
      </c>
      <c r="B104" s="1" t="s">
        <v>61</v>
      </c>
      <c r="C104" s="2">
        <v>220626143</v>
      </c>
      <c r="D104" s="2" t="s">
        <v>36</v>
      </c>
      <c r="E104" s="2">
        <v>42</v>
      </c>
      <c r="F104" s="15" t="s">
        <v>303</v>
      </c>
      <c r="G104" s="2" t="s">
        <v>304</v>
      </c>
      <c r="H104" s="2" t="s">
        <v>302</v>
      </c>
      <c r="I104" s="2" t="s">
        <v>64</v>
      </c>
      <c r="J104" s="2">
        <v>41.8</v>
      </c>
      <c r="K104" s="2" t="s">
        <v>149</v>
      </c>
      <c r="L104" s="22">
        <f t="shared" si="11"/>
        <v>6604400</v>
      </c>
      <c r="M104" s="2">
        <v>41.42</v>
      </c>
      <c r="N104" s="21">
        <v>45516.438000000002</v>
      </c>
      <c r="O104" s="22">
        <f t="shared" si="12"/>
        <v>159449.54128440368</v>
      </c>
      <c r="P104" s="2">
        <f t="shared" si="13"/>
        <v>0.37999999999999545</v>
      </c>
      <c r="Q104" s="24">
        <f t="shared" si="14"/>
        <v>0.1045</v>
      </c>
      <c r="R104" s="24">
        <f t="shared" si="15"/>
        <v>0.27549999999999547</v>
      </c>
      <c r="S104" s="23">
        <f t="shared" si="20"/>
        <v>43528.999999999287</v>
      </c>
      <c r="T104" s="3">
        <v>4000</v>
      </c>
      <c r="U104" s="3">
        <f t="shared" si="16"/>
        <v>165680</v>
      </c>
      <c r="V104" s="2">
        <v>0</v>
      </c>
      <c r="W104" s="2">
        <f t="shared" si="21"/>
        <v>0</v>
      </c>
      <c r="X104" s="25">
        <f t="shared" si="17"/>
        <v>163449.54128440368</v>
      </c>
      <c r="Y104" s="25">
        <f t="shared" si="18"/>
        <v>148739.23130803867</v>
      </c>
      <c r="Z104" s="25">
        <f t="shared" si="19"/>
        <v>148.73923130803865</v>
      </c>
      <c r="AA104" s="2" t="s">
        <v>38</v>
      </c>
      <c r="AB104" s="2" t="s">
        <v>46</v>
      </c>
      <c r="AC104" s="2">
        <v>8491</v>
      </c>
      <c r="AD104" s="2"/>
      <c r="AE104" s="4"/>
    </row>
    <row r="105" spans="1:31" x14ac:dyDescent="0.25">
      <c r="A105" s="1" t="s">
        <v>26</v>
      </c>
      <c r="B105" s="1" t="s">
        <v>27</v>
      </c>
      <c r="C105" s="2">
        <v>220526066</v>
      </c>
      <c r="D105" s="2" t="s">
        <v>28</v>
      </c>
      <c r="E105" s="2">
        <v>39</v>
      </c>
      <c r="F105" s="15">
        <v>190826016143</v>
      </c>
      <c r="G105" s="2" t="s">
        <v>305</v>
      </c>
      <c r="H105" s="2" t="s">
        <v>306</v>
      </c>
      <c r="I105" s="2" t="s">
        <v>51</v>
      </c>
      <c r="J105" s="2">
        <v>38.380000000000003</v>
      </c>
      <c r="K105" s="2" t="s">
        <v>139</v>
      </c>
      <c r="L105" s="22">
        <f t="shared" si="11"/>
        <v>5737810</v>
      </c>
      <c r="M105" s="2">
        <v>38.340000000000003</v>
      </c>
      <c r="N105" s="21">
        <v>42131.826000000001</v>
      </c>
      <c r="O105" s="22">
        <f t="shared" si="12"/>
        <v>149655.97287428271</v>
      </c>
      <c r="P105" s="2">
        <f t="shared" si="13"/>
        <v>3.9999999999999147E-2</v>
      </c>
      <c r="Q105" s="24">
        <f t="shared" si="14"/>
        <v>9.5950000000000008E-2</v>
      </c>
      <c r="R105" s="24">
        <f t="shared" si="15"/>
        <v>-5.595000000000086E-2</v>
      </c>
      <c r="S105" s="23">
        <f t="shared" si="20"/>
        <v>0</v>
      </c>
      <c r="T105" s="3">
        <v>0</v>
      </c>
      <c r="U105" s="3">
        <f t="shared" si="16"/>
        <v>0</v>
      </c>
      <c r="V105" s="2">
        <v>0</v>
      </c>
      <c r="W105" s="2">
        <f t="shared" si="21"/>
        <v>0</v>
      </c>
      <c r="X105" s="25">
        <f t="shared" si="17"/>
        <v>149655.97287428271</v>
      </c>
      <c r="Y105" s="25">
        <f t="shared" si="18"/>
        <v>136187.07150266878</v>
      </c>
      <c r="Z105" s="25">
        <f t="shared" si="19"/>
        <v>136.18707150266877</v>
      </c>
      <c r="AA105" s="2" t="s">
        <v>242</v>
      </c>
      <c r="AB105" s="2" t="s">
        <v>284</v>
      </c>
      <c r="AC105" s="2">
        <v>51253</v>
      </c>
      <c r="AD105" s="2"/>
      <c r="AE105" s="4"/>
    </row>
    <row r="106" spans="1:31" x14ac:dyDescent="0.25">
      <c r="A106" s="1" t="s">
        <v>26</v>
      </c>
      <c r="B106" s="1" t="s">
        <v>27</v>
      </c>
      <c r="C106" s="2">
        <v>220526066</v>
      </c>
      <c r="D106" s="2" t="s">
        <v>28</v>
      </c>
      <c r="E106" s="2">
        <v>39</v>
      </c>
      <c r="F106" s="15">
        <v>190826016480</v>
      </c>
      <c r="G106" s="2" t="s">
        <v>301</v>
      </c>
      <c r="H106" s="2" t="s">
        <v>308</v>
      </c>
      <c r="I106" s="2" t="s">
        <v>51</v>
      </c>
      <c r="J106" s="2">
        <v>38.86</v>
      </c>
      <c r="K106" s="2" t="s">
        <v>139</v>
      </c>
      <c r="L106" s="22">
        <f t="shared" si="11"/>
        <v>5809570</v>
      </c>
      <c r="M106" s="2">
        <v>38.770000000000003</v>
      </c>
      <c r="N106" s="21">
        <v>42604.353000000003</v>
      </c>
      <c r="O106" s="22">
        <f t="shared" si="12"/>
        <v>149847.04668558162</v>
      </c>
      <c r="P106" s="2">
        <f t="shared" si="13"/>
        <v>8.9999999999996305E-2</v>
      </c>
      <c r="Q106" s="24">
        <f t="shared" si="14"/>
        <v>9.715E-2</v>
      </c>
      <c r="R106" s="24">
        <f t="shared" si="15"/>
        <v>-7.1500000000036951E-3</v>
      </c>
      <c r="S106" s="23">
        <f t="shared" si="20"/>
        <v>0</v>
      </c>
      <c r="T106" s="3">
        <v>0</v>
      </c>
      <c r="U106" s="3">
        <f t="shared" si="16"/>
        <v>0</v>
      </c>
      <c r="V106" s="2">
        <v>0</v>
      </c>
      <c r="W106" s="2">
        <f t="shared" si="21"/>
        <v>0</v>
      </c>
      <c r="X106" s="25">
        <f t="shared" si="17"/>
        <v>149847.04668558162</v>
      </c>
      <c r="Y106" s="25">
        <f t="shared" si="18"/>
        <v>136360.94884482812</v>
      </c>
      <c r="Z106" s="25">
        <f t="shared" si="19"/>
        <v>136.36094884482813</v>
      </c>
      <c r="AA106" s="2" t="s">
        <v>242</v>
      </c>
      <c r="AB106" s="2" t="s">
        <v>54</v>
      </c>
      <c r="AC106" s="2">
        <v>24494</v>
      </c>
      <c r="AD106" s="2"/>
      <c r="AE106" s="4"/>
    </row>
    <row r="107" spans="1:31" x14ac:dyDescent="0.25">
      <c r="A107" s="1" t="s">
        <v>26</v>
      </c>
      <c r="B107" s="1" t="s">
        <v>155</v>
      </c>
      <c r="C107" s="2">
        <v>220626163</v>
      </c>
      <c r="D107" s="2" t="s">
        <v>28</v>
      </c>
      <c r="E107" s="2">
        <v>40</v>
      </c>
      <c r="F107" s="15" t="s">
        <v>309</v>
      </c>
      <c r="G107" s="2" t="s">
        <v>305</v>
      </c>
      <c r="H107" s="2" t="s">
        <v>310</v>
      </c>
      <c r="I107" s="2" t="s">
        <v>106</v>
      </c>
      <c r="J107" s="2">
        <v>39.979999999999997</v>
      </c>
      <c r="K107" s="2" t="s">
        <v>311</v>
      </c>
      <c r="L107" s="22">
        <f t="shared" si="11"/>
        <v>5847075</v>
      </c>
      <c r="M107" s="2">
        <v>39.880000000000003</v>
      </c>
      <c r="N107" s="21">
        <v>43824.132000000005</v>
      </c>
      <c r="O107" s="22">
        <f t="shared" si="12"/>
        <v>146616.72517552658</v>
      </c>
      <c r="P107" s="2">
        <f t="shared" si="13"/>
        <v>9.9999999999994316E-2</v>
      </c>
      <c r="Q107" s="24">
        <f t="shared" si="14"/>
        <v>9.9949999999999997E-2</v>
      </c>
      <c r="R107" s="24">
        <f t="shared" si="15"/>
        <v>4.9999999994318478E-5</v>
      </c>
      <c r="S107" s="23">
        <f t="shared" si="20"/>
        <v>7.3124999991690771</v>
      </c>
      <c r="T107" s="3">
        <v>0</v>
      </c>
      <c r="U107" s="3">
        <f t="shared" si="16"/>
        <v>0</v>
      </c>
      <c r="V107" s="2">
        <v>0</v>
      </c>
      <c r="W107" s="2">
        <f t="shared" si="21"/>
        <v>0</v>
      </c>
      <c r="X107" s="25">
        <f t="shared" si="17"/>
        <v>146616.72517552658</v>
      </c>
      <c r="Y107" s="25">
        <f t="shared" si="18"/>
        <v>133421.35333108253</v>
      </c>
      <c r="Z107" s="25">
        <f t="shared" si="19"/>
        <v>133.42135333108254</v>
      </c>
      <c r="AA107" s="2" t="s">
        <v>312</v>
      </c>
      <c r="AB107" s="2" t="s">
        <v>313</v>
      </c>
      <c r="AC107" s="2">
        <v>33030</v>
      </c>
      <c r="AD107" s="2"/>
      <c r="AE107" s="4"/>
    </row>
    <row r="108" spans="1:31" x14ac:dyDescent="0.25">
      <c r="A108" s="1" t="s">
        <v>26</v>
      </c>
      <c r="B108" s="1" t="s">
        <v>155</v>
      </c>
      <c r="C108" s="2">
        <v>220626163</v>
      </c>
      <c r="D108" s="2" t="s">
        <v>28</v>
      </c>
      <c r="E108" s="2">
        <v>40</v>
      </c>
      <c r="F108" s="15" t="s">
        <v>314</v>
      </c>
      <c r="G108" s="2" t="s">
        <v>305</v>
      </c>
      <c r="H108" s="2" t="s">
        <v>315</v>
      </c>
      <c r="I108" s="2" t="s">
        <v>106</v>
      </c>
      <c r="J108" s="2">
        <v>39.18</v>
      </c>
      <c r="K108" s="2" t="s">
        <v>311</v>
      </c>
      <c r="L108" s="22">
        <f t="shared" si="11"/>
        <v>5730075</v>
      </c>
      <c r="M108" s="2">
        <v>39.06</v>
      </c>
      <c r="N108" s="21">
        <v>42923.034</v>
      </c>
      <c r="O108" s="22">
        <f t="shared" si="12"/>
        <v>146699.30875576037</v>
      </c>
      <c r="P108" s="2">
        <f t="shared" si="13"/>
        <v>0.11999999999999744</v>
      </c>
      <c r="Q108" s="24">
        <f t="shared" si="14"/>
        <v>9.7949999999999995E-2</v>
      </c>
      <c r="R108" s="24">
        <f t="shared" si="15"/>
        <v>2.2049999999997447E-2</v>
      </c>
      <c r="S108" s="23">
        <f t="shared" si="20"/>
        <v>3224.8124999996267</v>
      </c>
      <c r="T108" s="3">
        <v>0</v>
      </c>
      <c r="U108" s="3">
        <f t="shared" si="16"/>
        <v>0</v>
      </c>
      <c r="V108" s="2">
        <v>0</v>
      </c>
      <c r="W108" s="2">
        <f t="shared" si="21"/>
        <v>0</v>
      </c>
      <c r="X108" s="25">
        <f t="shared" si="17"/>
        <v>146699.30875576037</v>
      </c>
      <c r="Y108" s="25">
        <f t="shared" si="18"/>
        <v>133496.50446424639</v>
      </c>
      <c r="Z108" s="25">
        <f t="shared" si="19"/>
        <v>133.49650446424639</v>
      </c>
      <c r="AA108" s="2" t="s">
        <v>53</v>
      </c>
      <c r="AB108" s="2" t="s">
        <v>114</v>
      </c>
      <c r="AC108" s="2">
        <v>16006</v>
      </c>
      <c r="AD108" s="2"/>
      <c r="AE108" s="4"/>
    </row>
    <row r="109" spans="1:31" x14ac:dyDescent="0.25">
      <c r="A109" s="1" t="s">
        <v>26</v>
      </c>
      <c r="B109" s="1" t="s">
        <v>27</v>
      </c>
      <c r="C109" s="2">
        <v>220526052</v>
      </c>
      <c r="D109" s="2" t="s">
        <v>28</v>
      </c>
      <c r="E109" s="2">
        <v>40</v>
      </c>
      <c r="F109" s="15">
        <v>195226003690</v>
      </c>
      <c r="G109" s="2" t="s">
        <v>310</v>
      </c>
      <c r="H109" s="2" t="s">
        <v>315</v>
      </c>
      <c r="I109" s="2" t="s">
        <v>31</v>
      </c>
      <c r="J109" s="2">
        <v>39.880000000000003</v>
      </c>
      <c r="K109" s="2" t="s">
        <v>132</v>
      </c>
      <c r="L109" s="22">
        <f t="shared" si="11"/>
        <v>5782600</v>
      </c>
      <c r="M109" s="2">
        <v>39.880000000000003</v>
      </c>
      <c r="N109" s="21">
        <v>43824.132000000005</v>
      </c>
      <c r="O109" s="22">
        <f t="shared" si="12"/>
        <v>145000</v>
      </c>
      <c r="P109" s="2">
        <f t="shared" si="13"/>
        <v>0</v>
      </c>
      <c r="Q109" s="24">
        <f t="shared" si="14"/>
        <v>9.9700000000000011E-2</v>
      </c>
      <c r="R109" s="24">
        <f t="shared" si="15"/>
        <v>-9.9700000000000011E-2</v>
      </c>
      <c r="S109" s="23">
        <f t="shared" si="20"/>
        <v>0</v>
      </c>
      <c r="T109" s="3">
        <v>0</v>
      </c>
      <c r="U109" s="3">
        <f t="shared" si="16"/>
        <v>0</v>
      </c>
      <c r="V109" s="2">
        <v>0</v>
      </c>
      <c r="W109" s="2">
        <f t="shared" si="21"/>
        <v>0</v>
      </c>
      <c r="X109" s="25">
        <f t="shared" si="17"/>
        <v>145000</v>
      </c>
      <c r="Y109" s="25">
        <f t="shared" si="18"/>
        <v>131950.13195013194</v>
      </c>
      <c r="Z109" s="25">
        <f t="shared" si="19"/>
        <v>131.95013195013195</v>
      </c>
      <c r="AA109" s="2" t="s">
        <v>242</v>
      </c>
      <c r="AB109" s="2" t="s">
        <v>54</v>
      </c>
      <c r="AC109" s="2">
        <v>51410</v>
      </c>
      <c r="AD109" s="2"/>
      <c r="AE109" s="4"/>
    </row>
    <row r="110" spans="1:31" x14ac:dyDescent="0.25">
      <c r="A110" s="1" t="s">
        <v>26</v>
      </c>
      <c r="B110" s="1" t="s">
        <v>155</v>
      </c>
      <c r="C110" s="2">
        <v>220626163</v>
      </c>
      <c r="D110" s="2" t="s">
        <v>28</v>
      </c>
      <c r="E110" s="2">
        <v>39</v>
      </c>
      <c r="F110" s="15" t="s">
        <v>316</v>
      </c>
      <c r="G110" s="2" t="s">
        <v>301</v>
      </c>
      <c r="H110" s="2" t="s">
        <v>317</v>
      </c>
      <c r="I110" s="2" t="s">
        <v>106</v>
      </c>
      <c r="J110" s="2">
        <v>38.28</v>
      </c>
      <c r="K110" s="2" t="s">
        <v>311</v>
      </c>
      <c r="L110" s="22">
        <f t="shared" si="11"/>
        <v>5598450</v>
      </c>
      <c r="M110" s="2">
        <v>38.17</v>
      </c>
      <c r="N110" s="21">
        <v>41945.013000000006</v>
      </c>
      <c r="O110" s="22">
        <f t="shared" si="12"/>
        <v>146671.469740634</v>
      </c>
      <c r="P110" s="2">
        <f t="shared" si="13"/>
        <v>0.10999999999999943</v>
      </c>
      <c r="Q110" s="24">
        <f t="shared" si="14"/>
        <v>9.5700000000000007E-2</v>
      </c>
      <c r="R110" s="24">
        <f t="shared" si="15"/>
        <v>1.4299999999999424E-2</v>
      </c>
      <c r="S110" s="23">
        <f t="shared" si="20"/>
        <v>2091.3749999999159</v>
      </c>
      <c r="T110" s="3">
        <v>0</v>
      </c>
      <c r="U110" s="3">
        <f t="shared" si="16"/>
        <v>0</v>
      </c>
      <c r="V110" s="2">
        <v>0</v>
      </c>
      <c r="W110" s="2">
        <f t="shared" si="21"/>
        <v>0</v>
      </c>
      <c r="X110" s="25">
        <f t="shared" si="17"/>
        <v>146671.469740634</v>
      </c>
      <c r="Y110" s="25">
        <f t="shared" si="18"/>
        <v>133471.17093514788</v>
      </c>
      <c r="Z110" s="25">
        <f t="shared" si="19"/>
        <v>133.47117093514788</v>
      </c>
      <c r="AA110" s="2" t="s">
        <v>318</v>
      </c>
      <c r="AB110" s="2" t="s">
        <v>319</v>
      </c>
      <c r="AC110" s="2">
        <v>173267</v>
      </c>
      <c r="AD110" s="2"/>
      <c r="AE110" s="4"/>
    </row>
    <row r="111" spans="1:31" x14ac:dyDescent="0.25">
      <c r="A111" s="1" t="s">
        <v>26</v>
      </c>
      <c r="B111" s="1" t="s">
        <v>217</v>
      </c>
      <c r="C111" s="2">
        <v>220626135</v>
      </c>
      <c r="D111" s="2" t="s">
        <v>36</v>
      </c>
      <c r="E111" s="2">
        <v>41</v>
      </c>
      <c r="F111" s="15" t="s">
        <v>320</v>
      </c>
      <c r="G111" s="2" t="s">
        <v>307</v>
      </c>
      <c r="H111" s="2" t="s">
        <v>321</v>
      </c>
      <c r="I111" s="2" t="s">
        <v>106</v>
      </c>
      <c r="J111" s="2">
        <v>40.03</v>
      </c>
      <c r="K111" s="2" t="s">
        <v>299</v>
      </c>
      <c r="L111" s="22">
        <f t="shared" si="11"/>
        <v>5700272</v>
      </c>
      <c r="M111" s="2">
        <v>39.909999999999997</v>
      </c>
      <c r="N111" s="21">
        <v>43857.098999999995</v>
      </c>
      <c r="O111" s="22">
        <f t="shared" si="12"/>
        <v>142828.16336757707</v>
      </c>
      <c r="P111" s="2">
        <f t="shared" si="13"/>
        <v>0.12000000000000455</v>
      </c>
      <c r="Q111" s="24">
        <f t="shared" si="14"/>
        <v>0.10007500000000001</v>
      </c>
      <c r="R111" s="24">
        <f t="shared" si="15"/>
        <v>1.9925000000004536E-2</v>
      </c>
      <c r="S111" s="23">
        <f t="shared" si="20"/>
        <v>2837.3200000006459</v>
      </c>
      <c r="T111" s="3">
        <v>4000</v>
      </c>
      <c r="U111" s="3">
        <f t="shared" si="16"/>
        <v>159640</v>
      </c>
      <c r="V111" s="2">
        <v>50</v>
      </c>
      <c r="W111" s="2">
        <f t="shared" si="21"/>
        <v>2001.5</v>
      </c>
      <c r="X111" s="25">
        <f t="shared" si="17"/>
        <v>146878.31370583814</v>
      </c>
      <c r="Y111" s="25">
        <f t="shared" si="18"/>
        <v>133659.39913171183</v>
      </c>
      <c r="Z111" s="25">
        <f t="shared" si="19"/>
        <v>133.65939913171184</v>
      </c>
      <c r="AA111" s="2" t="s">
        <v>38</v>
      </c>
      <c r="AB111" s="2" t="s">
        <v>60</v>
      </c>
      <c r="AC111" s="2">
        <v>7967</v>
      </c>
      <c r="AD111" s="2"/>
      <c r="AE111" s="4"/>
    </row>
    <row r="112" spans="1:31" x14ac:dyDescent="0.25">
      <c r="A112" s="1" t="s">
        <v>26</v>
      </c>
      <c r="B112" s="1" t="s">
        <v>155</v>
      </c>
      <c r="C112" s="2">
        <v>220626163</v>
      </c>
      <c r="D112" s="2" t="s">
        <v>28</v>
      </c>
      <c r="E112" s="2">
        <v>30</v>
      </c>
      <c r="F112" s="15" t="s">
        <v>322</v>
      </c>
      <c r="G112" s="2" t="s">
        <v>308</v>
      </c>
      <c r="H112" s="2" t="s">
        <v>323</v>
      </c>
      <c r="I112" s="2" t="s">
        <v>106</v>
      </c>
      <c r="J112" s="2">
        <v>29.74</v>
      </c>
      <c r="K112" s="2" t="s">
        <v>311</v>
      </c>
      <c r="L112" s="22">
        <f t="shared" si="11"/>
        <v>4349475</v>
      </c>
      <c r="M112" s="2">
        <v>29.68</v>
      </c>
      <c r="N112" s="21">
        <v>32615.352000000003</v>
      </c>
      <c r="O112" s="22">
        <f t="shared" si="12"/>
        <v>146545.65363881402</v>
      </c>
      <c r="P112" s="2">
        <f t="shared" si="13"/>
        <v>5.9999999999998721E-2</v>
      </c>
      <c r="Q112" s="24">
        <f t="shared" si="14"/>
        <v>7.4349999999999999E-2</v>
      </c>
      <c r="R112" s="24">
        <f t="shared" si="15"/>
        <v>-1.4350000000001278E-2</v>
      </c>
      <c r="S112" s="23">
        <f t="shared" si="20"/>
        <v>0</v>
      </c>
      <c r="T112" s="3">
        <v>0</v>
      </c>
      <c r="U112" s="3">
        <f t="shared" si="16"/>
        <v>0</v>
      </c>
      <c r="V112" s="2">
        <v>0</v>
      </c>
      <c r="W112" s="2">
        <f t="shared" si="21"/>
        <v>0</v>
      </c>
      <c r="X112" s="25">
        <f t="shared" si="17"/>
        <v>146545.65363881402</v>
      </c>
      <c r="Y112" s="25">
        <f t="shared" si="18"/>
        <v>133356.67816799894</v>
      </c>
      <c r="Z112" s="25">
        <f t="shared" si="19"/>
        <v>133.35667816799895</v>
      </c>
      <c r="AA112" s="2" t="s">
        <v>242</v>
      </c>
      <c r="AB112" s="2" t="s">
        <v>271</v>
      </c>
      <c r="AC112" s="2">
        <v>51434</v>
      </c>
      <c r="AD112" s="2"/>
      <c r="AE112" s="4"/>
    </row>
    <row r="113" spans="1:31" x14ac:dyDescent="0.25">
      <c r="A113" s="1" t="s">
        <v>26</v>
      </c>
      <c r="B113" s="1" t="s">
        <v>217</v>
      </c>
      <c r="C113" s="2">
        <v>220626135</v>
      </c>
      <c r="D113" s="2" t="s">
        <v>36</v>
      </c>
      <c r="E113" s="2">
        <v>40</v>
      </c>
      <c r="F113" s="15" t="s">
        <v>324</v>
      </c>
      <c r="G113" s="2" t="s">
        <v>307</v>
      </c>
      <c r="H113" s="2" t="s">
        <v>323</v>
      </c>
      <c r="I113" s="2" t="s">
        <v>106</v>
      </c>
      <c r="J113" s="2">
        <v>39.9</v>
      </c>
      <c r="K113" s="2" t="s">
        <v>299</v>
      </c>
      <c r="L113" s="22">
        <f t="shared" si="11"/>
        <v>5681760</v>
      </c>
      <c r="M113" s="2">
        <v>39.79</v>
      </c>
      <c r="N113" s="21">
        <v>43725.231</v>
      </c>
      <c r="O113" s="22">
        <f t="shared" si="12"/>
        <v>142793.66675043982</v>
      </c>
      <c r="P113" s="2">
        <f t="shared" si="13"/>
        <v>0.10999999999999943</v>
      </c>
      <c r="Q113" s="24">
        <f t="shared" si="14"/>
        <v>9.9750000000000005E-2</v>
      </c>
      <c r="R113" s="24">
        <f t="shared" si="15"/>
        <v>1.0249999999999426E-2</v>
      </c>
      <c r="S113" s="23">
        <f t="shared" si="20"/>
        <v>1459.5999999999183</v>
      </c>
      <c r="T113" s="3">
        <v>4000</v>
      </c>
      <c r="U113" s="3">
        <f t="shared" si="16"/>
        <v>159160</v>
      </c>
      <c r="V113" s="2">
        <v>50</v>
      </c>
      <c r="W113" s="2">
        <f t="shared" si="21"/>
        <v>1995</v>
      </c>
      <c r="X113" s="25">
        <f t="shared" si="17"/>
        <v>146843.80497612467</v>
      </c>
      <c r="Y113" s="25">
        <f t="shared" si="18"/>
        <v>133627.9961562696</v>
      </c>
      <c r="Z113" s="25">
        <f t="shared" si="19"/>
        <v>133.6279961562696</v>
      </c>
      <c r="AA113" s="2" t="s">
        <v>38</v>
      </c>
      <c r="AB113" s="2" t="s">
        <v>133</v>
      </c>
      <c r="AC113" s="2">
        <v>7968</v>
      </c>
      <c r="AD113" s="2"/>
      <c r="AE113" s="4"/>
    </row>
    <row r="114" spans="1:31" x14ac:dyDescent="0.25">
      <c r="A114" s="1" t="s">
        <v>26</v>
      </c>
      <c r="B114" s="1" t="s">
        <v>61</v>
      </c>
      <c r="C114" s="2">
        <v>220726012</v>
      </c>
      <c r="D114" s="2" t="s">
        <v>36</v>
      </c>
      <c r="E114" s="2">
        <v>41</v>
      </c>
      <c r="F114" s="15" t="s">
        <v>325</v>
      </c>
      <c r="G114" s="2" t="s">
        <v>326</v>
      </c>
      <c r="H114" s="2" t="s">
        <v>323</v>
      </c>
      <c r="I114" s="2" t="s">
        <v>64</v>
      </c>
      <c r="J114" s="2">
        <v>40.340000000000003</v>
      </c>
      <c r="K114" s="2" t="s">
        <v>327</v>
      </c>
      <c r="L114" s="22">
        <f t="shared" si="11"/>
        <v>6333380.0000000009</v>
      </c>
      <c r="M114" s="2">
        <v>40.130000000000003</v>
      </c>
      <c r="N114" s="21">
        <v>44098.857000000004</v>
      </c>
      <c r="O114" s="22">
        <f t="shared" si="12"/>
        <v>157821.57986543735</v>
      </c>
      <c r="P114" s="2">
        <f t="shared" si="13"/>
        <v>0.21000000000000085</v>
      </c>
      <c r="Q114" s="24">
        <f t="shared" si="14"/>
        <v>0.10085000000000001</v>
      </c>
      <c r="R114" s="24">
        <f t="shared" si="15"/>
        <v>0.10915000000000084</v>
      </c>
      <c r="S114" s="23">
        <f t="shared" si="20"/>
        <v>17136.550000000134</v>
      </c>
      <c r="T114" s="3">
        <v>4000</v>
      </c>
      <c r="U114" s="3">
        <f t="shared" si="16"/>
        <v>160520</v>
      </c>
      <c r="V114" s="2">
        <v>0</v>
      </c>
      <c r="W114" s="2">
        <f t="shared" si="21"/>
        <v>0</v>
      </c>
      <c r="X114" s="25">
        <f t="shared" si="17"/>
        <v>161821.57986543735</v>
      </c>
      <c r="Y114" s="25">
        <f t="shared" si="18"/>
        <v>147257.78493533292</v>
      </c>
      <c r="Z114" s="25">
        <f t="shared" si="19"/>
        <v>147.25778493533292</v>
      </c>
      <c r="AA114" s="2" t="s">
        <v>38</v>
      </c>
      <c r="AB114" s="2" t="s">
        <v>43</v>
      </c>
      <c r="AC114" s="2">
        <v>7847</v>
      </c>
      <c r="AD114" s="2"/>
      <c r="AE114" s="4"/>
    </row>
    <row r="115" spans="1:31" x14ac:dyDescent="0.25">
      <c r="A115" s="1" t="s">
        <v>26</v>
      </c>
      <c r="B115" s="1" t="s">
        <v>217</v>
      </c>
      <c r="C115" s="2">
        <v>220626153</v>
      </c>
      <c r="D115" s="2" t="s">
        <v>36</v>
      </c>
      <c r="E115" s="2">
        <v>40</v>
      </c>
      <c r="F115" s="15" t="s">
        <v>328</v>
      </c>
      <c r="G115" s="2" t="s">
        <v>315</v>
      </c>
      <c r="H115" s="2" t="s">
        <v>329</v>
      </c>
      <c r="I115" s="2" t="s">
        <v>106</v>
      </c>
      <c r="J115" s="2">
        <v>39.82</v>
      </c>
      <c r="K115" s="2" t="s">
        <v>330</v>
      </c>
      <c r="L115" s="22">
        <f t="shared" si="11"/>
        <v>5618602</v>
      </c>
      <c r="M115" s="2">
        <v>39.700000000000003</v>
      </c>
      <c r="N115" s="21">
        <v>43626.33</v>
      </c>
      <c r="O115" s="22">
        <f t="shared" si="12"/>
        <v>141526.49874055415</v>
      </c>
      <c r="P115" s="2">
        <f t="shared" si="13"/>
        <v>0.11999999999999744</v>
      </c>
      <c r="Q115" s="24">
        <f t="shared" si="14"/>
        <v>9.955E-2</v>
      </c>
      <c r="R115" s="24">
        <f t="shared" si="15"/>
        <v>2.0449999999997442E-2</v>
      </c>
      <c r="S115" s="23">
        <f t="shared" si="20"/>
        <v>2885.4949999996393</v>
      </c>
      <c r="T115" s="3">
        <v>4000</v>
      </c>
      <c r="U115" s="3">
        <f t="shared" si="16"/>
        <v>158800</v>
      </c>
      <c r="V115" s="2">
        <v>50</v>
      </c>
      <c r="W115" s="2">
        <f t="shared" si="21"/>
        <v>1991</v>
      </c>
      <c r="X115" s="25">
        <f t="shared" si="17"/>
        <v>145576.64987405541</v>
      </c>
      <c r="Y115" s="25">
        <f t="shared" si="18"/>
        <v>132474.88386027428</v>
      </c>
      <c r="Z115" s="25">
        <f t="shared" si="19"/>
        <v>132.47488386027428</v>
      </c>
      <c r="AA115" s="2" t="s">
        <v>38</v>
      </c>
      <c r="AB115" s="2" t="s">
        <v>331</v>
      </c>
      <c r="AC115" s="2">
        <v>7970</v>
      </c>
      <c r="AD115" s="2"/>
      <c r="AE115" s="4"/>
    </row>
    <row r="116" spans="1:31" x14ac:dyDescent="0.25">
      <c r="A116" s="1" t="s">
        <v>26</v>
      </c>
      <c r="B116" s="1" t="s">
        <v>27</v>
      </c>
      <c r="C116" s="2">
        <v>220426102</v>
      </c>
      <c r="D116" s="2" t="s">
        <v>28</v>
      </c>
      <c r="E116" s="2">
        <v>35</v>
      </c>
      <c r="F116" s="15">
        <v>190826017172</v>
      </c>
      <c r="G116" s="2" t="s">
        <v>332</v>
      </c>
      <c r="H116" s="2" t="s">
        <v>333</v>
      </c>
      <c r="I116" s="2" t="s">
        <v>51</v>
      </c>
      <c r="J116" s="2">
        <v>38.58</v>
      </c>
      <c r="K116" s="2" t="s">
        <v>116</v>
      </c>
      <c r="L116" s="22">
        <f t="shared" si="11"/>
        <v>5709840</v>
      </c>
      <c r="M116" s="2">
        <v>38.47</v>
      </c>
      <c r="N116" s="21">
        <v>42274.682999999997</v>
      </c>
      <c r="O116" s="22">
        <f t="shared" si="12"/>
        <v>148423.18689888224</v>
      </c>
      <c r="P116" s="2">
        <f t="shared" si="13"/>
        <v>0.10999999999999943</v>
      </c>
      <c r="Q116" s="24">
        <f t="shared" si="14"/>
        <v>9.6449999999999994E-2</v>
      </c>
      <c r="R116" s="24">
        <f t="shared" si="15"/>
        <v>1.3549999999999437E-2</v>
      </c>
      <c r="S116" s="23">
        <f t="shared" si="20"/>
        <v>2005.3999999999166</v>
      </c>
      <c r="T116" s="3">
        <v>0</v>
      </c>
      <c r="U116" s="3">
        <f t="shared" si="16"/>
        <v>0</v>
      </c>
      <c r="V116" s="2">
        <v>0</v>
      </c>
      <c r="W116" s="2">
        <f t="shared" si="21"/>
        <v>0</v>
      </c>
      <c r="X116" s="25">
        <f t="shared" si="17"/>
        <v>148423.18689888224</v>
      </c>
      <c r="Y116" s="25">
        <f t="shared" si="18"/>
        <v>135065.23514321799</v>
      </c>
      <c r="Z116" s="25">
        <f t="shared" si="19"/>
        <v>135.06523514321799</v>
      </c>
      <c r="AA116" s="2" t="s">
        <v>242</v>
      </c>
      <c r="AB116" s="2" t="s">
        <v>284</v>
      </c>
      <c r="AC116" s="2">
        <v>51204</v>
      </c>
      <c r="AD116" s="2"/>
      <c r="AE116" s="4"/>
    </row>
    <row r="117" spans="1:31" x14ac:dyDescent="0.25">
      <c r="A117" s="1" t="s">
        <v>26</v>
      </c>
      <c r="B117" s="1" t="s">
        <v>217</v>
      </c>
      <c r="C117" s="2">
        <v>220626153</v>
      </c>
      <c r="D117" s="2" t="s">
        <v>36</v>
      </c>
      <c r="E117" s="2">
        <v>40</v>
      </c>
      <c r="F117" s="15" t="s">
        <v>334</v>
      </c>
      <c r="G117" s="2" t="s">
        <v>315</v>
      </c>
      <c r="H117" s="2" t="s">
        <v>335</v>
      </c>
      <c r="I117" s="2" t="s">
        <v>106</v>
      </c>
      <c r="J117" s="2">
        <v>39.99</v>
      </c>
      <c r="K117" s="2" t="s">
        <v>330</v>
      </c>
      <c r="L117" s="22">
        <f t="shared" si="11"/>
        <v>5642589</v>
      </c>
      <c r="M117" s="2">
        <v>39.869999999999997</v>
      </c>
      <c r="N117" s="21">
        <v>43813.142999999996</v>
      </c>
      <c r="O117" s="22">
        <f t="shared" si="12"/>
        <v>141524.68021068475</v>
      </c>
      <c r="P117" s="2">
        <f t="shared" si="13"/>
        <v>0.12000000000000455</v>
      </c>
      <c r="Q117" s="24">
        <f t="shared" si="14"/>
        <v>9.9975000000000008E-2</v>
      </c>
      <c r="R117" s="24">
        <f t="shared" si="15"/>
        <v>2.0025000000004539E-2</v>
      </c>
      <c r="S117" s="23">
        <f t="shared" si="20"/>
        <v>2825.5275000006404</v>
      </c>
      <c r="T117" s="3">
        <v>4000</v>
      </c>
      <c r="U117" s="3">
        <f t="shared" si="16"/>
        <v>159480</v>
      </c>
      <c r="V117" s="2">
        <v>50</v>
      </c>
      <c r="W117" s="2">
        <f t="shared" si="21"/>
        <v>1999.5</v>
      </c>
      <c r="X117" s="25">
        <f t="shared" si="17"/>
        <v>145574.83069977426</v>
      </c>
      <c r="Y117" s="25">
        <f t="shared" si="18"/>
        <v>132473.228410023</v>
      </c>
      <c r="Z117" s="25">
        <f t="shared" si="19"/>
        <v>132.47322841002301</v>
      </c>
      <c r="AA117" s="2" t="s">
        <v>38</v>
      </c>
      <c r="AB117" s="2" t="s">
        <v>81</v>
      </c>
      <c r="AC117" s="2">
        <v>7969</v>
      </c>
      <c r="AD117" s="2"/>
      <c r="AE117" s="4"/>
    </row>
    <row r="118" spans="1:31" x14ac:dyDescent="0.25">
      <c r="A118" s="1" t="s">
        <v>26</v>
      </c>
      <c r="B118" s="1" t="s">
        <v>217</v>
      </c>
      <c r="C118" s="2">
        <v>220626153</v>
      </c>
      <c r="D118" s="2" t="s">
        <v>36</v>
      </c>
      <c r="E118" s="2">
        <v>40</v>
      </c>
      <c r="F118" s="15" t="s">
        <v>336</v>
      </c>
      <c r="G118" s="2" t="s">
        <v>315</v>
      </c>
      <c r="H118" s="2" t="s">
        <v>335</v>
      </c>
      <c r="I118" s="2" t="s">
        <v>106</v>
      </c>
      <c r="J118" s="2">
        <v>39.840000000000003</v>
      </c>
      <c r="K118" s="2" t="s">
        <v>330</v>
      </c>
      <c r="L118" s="22">
        <f t="shared" si="11"/>
        <v>5621424.0000000009</v>
      </c>
      <c r="M118" s="2">
        <v>39.71</v>
      </c>
      <c r="N118" s="21">
        <v>43637.318999999996</v>
      </c>
      <c r="O118" s="22">
        <f t="shared" si="12"/>
        <v>141561.92394862758</v>
      </c>
      <c r="P118" s="2">
        <f t="shared" si="13"/>
        <v>0.13000000000000256</v>
      </c>
      <c r="Q118" s="24">
        <f t="shared" si="14"/>
        <v>9.9600000000000008E-2</v>
      </c>
      <c r="R118" s="24">
        <f t="shared" si="15"/>
        <v>3.040000000000255E-2</v>
      </c>
      <c r="S118" s="23">
        <f t="shared" si="20"/>
        <v>4289.4400000003598</v>
      </c>
      <c r="T118" s="3">
        <v>4000</v>
      </c>
      <c r="U118" s="3">
        <f t="shared" si="16"/>
        <v>158840</v>
      </c>
      <c r="V118" s="2">
        <v>50</v>
      </c>
      <c r="W118" s="2">
        <f t="shared" si="21"/>
        <v>1992.0000000000002</v>
      </c>
      <c r="X118" s="25">
        <f t="shared" si="17"/>
        <v>145612.08763535635</v>
      </c>
      <c r="Y118" s="25">
        <f t="shared" si="18"/>
        <v>132507.13225530653</v>
      </c>
      <c r="Z118" s="25">
        <f t="shared" si="19"/>
        <v>132.50713225530652</v>
      </c>
      <c r="AA118" s="2" t="s">
        <v>38</v>
      </c>
      <c r="AB118" s="2" t="s">
        <v>142</v>
      </c>
      <c r="AC118" s="2">
        <v>7971</v>
      </c>
      <c r="AD118" s="2"/>
      <c r="AE118" s="4"/>
    </row>
    <row r="119" spans="1:31" x14ac:dyDescent="0.25">
      <c r="A119" s="1" t="s">
        <v>26</v>
      </c>
      <c r="B119" s="1" t="s">
        <v>27</v>
      </c>
      <c r="C119" s="2">
        <v>220526066</v>
      </c>
      <c r="D119" s="2" t="s">
        <v>28</v>
      </c>
      <c r="E119" s="2">
        <v>40</v>
      </c>
      <c r="F119" s="15">
        <v>190826000000</v>
      </c>
      <c r="G119" s="2" t="s">
        <v>329</v>
      </c>
      <c r="H119" s="2" t="s">
        <v>338</v>
      </c>
      <c r="I119" s="2" t="s">
        <v>51</v>
      </c>
      <c r="J119" s="2">
        <v>39.72</v>
      </c>
      <c r="K119" s="2" t="s">
        <v>139</v>
      </c>
      <c r="L119" s="22">
        <f t="shared" si="11"/>
        <v>5938140</v>
      </c>
      <c r="M119" s="2">
        <v>39.67</v>
      </c>
      <c r="N119" s="21">
        <v>43593.363000000005</v>
      </c>
      <c r="O119" s="22">
        <f t="shared" si="12"/>
        <v>149688.42954373581</v>
      </c>
      <c r="P119" s="2">
        <f t="shared" si="13"/>
        <v>4.9999999999997158E-2</v>
      </c>
      <c r="Q119" s="24">
        <f t="shared" si="14"/>
        <v>9.9299999999999999E-2</v>
      </c>
      <c r="R119" s="24">
        <f t="shared" si="15"/>
        <v>-4.9300000000002842E-2</v>
      </c>
      <c r="S119" s="23">
        <f t="shared" si="20"/>
        <v>0</v>
      </c>
      <c r="T119" s="3">
        <v>0</v>
      </c>
      <c r="U119" s="3">
        <f t="shared" si="16"/>
        <v>0</v>
      </c>
      <c r="V119" s="2">
        <v>0</v>
      </c>
      <c r="W119" s="2">
        <f t="shared" si="21"/>
        <v>0</v>
      </c>
      <c r="X119" s="25">
        <f t="shared" si="17"/>
        <v>149688.42954373581</v>
      </c>
      <c r="Y119" s="25">
        <f t="shared" si="18"/>
        <v>136216.6071014067</v>
      </c>
      <c r="Z119" s="25">
        <f t="shared" si="19"/>
        <v>136.21660710140671</v>
      </c>
      <c r="AA119" s="2" t="s">
        <v>108</v>
      </c>
      <c r="AB119" s="2" t="s">
        <v>339</v>
      </c>
      <c r="AC119" s="2">
        <v>155</v>
      </c>
      <c r="AD119" s="2"/>
      <c r="AE119" s="4"/>
    </row>
    <row r="120" spans="1:31" x14ac:dyDescent="0.25">
      <c r="A120" s="1" t="s">
        <v>26</v>
      </c>
      <c r="B120" s="1" t="s">
        <v>35</v>
      </c>
      <c r="C120" s="2">
        <v>220726046</v>
      </c>
      <c r="D120" s="2" t="s">
        <v>36</v>
      </c>
      <c r="E120" s="2">
        <v>41</v>
      </c>
      <c r="F120" s="15" t="s">
        <v>340</v>
      </c>
      <c r="G120" s="2" t="s">
        <v>337</v>
      </c>
      <c r="H120" s="2" t="s">
        <v>341</v>
      </c>
      <c r="I120" s="2" t="s">
        <v>106</v>
      </c>
      <c r="J120" s="2">
        <v>40.29</v>
      </c>
      <c r="K120" s="2" t="s">
        <v>342</v>
      </c>
      <c r="L120" s="22">
        <f t="shared" si="11"/>
        <v>5769528</v>
      </c>
      <c r="M120" s="2">
        <v>40.159999999999997</v>
      </c>
      <c r="N120" s="21">
        <v>44131.823999999993</v>
      </c>
      <c r="O120" s="22">
        <f t="shared" si="12"/>
        <v>143663.54581673309</v>
      </c>
      <c r="P120" s="2">
        <f t="shared" si="13"/>
        <v>0.13000000000000256</v>
      </c>
      <c r="Q120" s="24">
        <f t="shared" si="14"/>
        <v>0.100725</v>
      </c>
      <c r="R120" s="24">
        <f t="shared" si="15"/>
        <v>2.9275000000002563E-2</v>
      </c>
      <c r="S120" s="23">
        <f t="shared" si="20"/>
        <v>4192.1800000003668</v>
      </c>
      <c r="T120" s="3">
        <v>3500</v>
      </c>
      <c r="U120" s="3">
        <f t="shared" si="16"/>
        <v>140560</v>
      </c>
      <c r="V120" s="2">
        <v>0</v>
      </c>
      <c r="W120" s="2">
        <f t="shared" si="21"/>
        <v>0</v>
      </c>
      <c r="X120" s="25">
        <f t="shared" si="17"/>
        <v>147163.54581673309</v>
      </c>
      <c r="Y120" s="25">
        <f t="shared" si="18"/>
        <v>133918.96061218774</v>
      </c>
      <c r="Z120" s="25">
        <f t="shared" si="19"/>
        <v>133.91896061218773</v>
      </c>
      <c r="AA120" s="2" t="s">
        <v>38</v>
      </c>
      <c r="AB120" s="2" t="s">
        <v>43</v>
      </c>
      <c r="AC120" s="2">
        <v>8560</v>
      </c>
      <c r="AD120" s="2"/>
      <c r="AE120" s="4"/>
    </row>
    <row r="121" spans="1:31" x14ac:dyDescent="0.25">
      <c r="A121" s="1" t="s">
        <v>26</v>
      </c>
      <c r="B121" s="1" t="s">
        <v>27</v>
      </c>
      <c r="C121" s="2">
        <v>220526066</v>
      </c>
      <c r="D121" s="2" t="s">
        <v>28</v>
      </c>
      <c r="E121" s="2">
        <v>39</v>
      </c>
      <c r="F121" s="15">
        <v>190826018899</v>
      </c>
      <c r="G121" s="2" t="s">
        <v>343</v>
      </c>
      <c r="H121" s="2" t="s">
        <v>341</v>
      </c>
      <c r="I121" s="2" t="s">
        <v>51</v>
      </c>
      <c r="J121" s="2">
        <v>38.9</v>
      </c>
      <c r="K121" s="2" t="s">
        <v>139</v>
      </c>
      <c r="L121" s="22">
        <f t="shared" si="11"/>
        <v>5815550</v>
      </c>
      <c r="M121" s="2">
        <v>38.86</v>
      </c>
      <c r="N121" s="21">
        <v>42703.254000000001</v>
      </c>
      <c r="O121" s="22">
        <f t="shared" si="12"/>
        <v>149653.88574369531</v>
      </c>
      <c r="P121" s="2">
        <f t="shared" si="13"/>
        <v>3.9999999999999147E-2</v>
      </c>
      <c r="Q121" s="24">
        <f t="shared" si="14"/>
        <v>9.7250000000000003E-2</v>
      </c>
      <c r="R121" s="24">
        <f t="shared" si="15"/>
        <v>-5.7250000000000856E-2</v>
      </c>
      <c r="S121" s="23">
        <f t="shared" si="20"/>
        <v>0</v>
      </c>
      <c r="T121" s="3">
        <v>0</v>
      </c>
      <c r="U121" s="3">
        <f t="shared" si="16"/>
        <v>0</v>
      </c>
      <c r="V121" s="2">
        <v>0</v>
      </c>
      <c r="W121" s="2">
        <f t="shared" si="21"/>
        <v>0</v>
      </c>
      <c r="X121" s="25">
        <f t="shared" si="17"/>
        <v>149653.88574369531</v>
      </c>
      <c r="Y121" s="25">
        <f t="shared" si="18"/>
        <v>136185.17221193496</v>
      </c>
      <c r="Z121" s="25">
        <f t="shared" si="19"/>
        <v>136.18517221193497</v>
      </c>
      <c r="AA121" s="2" t="s">
        <v>108</v>
      </c>
      <c r="AB121" s="2" t="s">
        <v>188</v>
      </c>
      <c r="AC121" s="2">
        <v>328</v>
      </c>
      <c r="AD121" s="2"/>
      <c r="AE121" s="4"/>
    </row>
    <row r="122" spans="1:31" x14ac:dyDescent="0.25">
      <c r="A122" s="1" t="s">
        <v>26</v>
      </c>
      <c r="B122" s="1" t="s">
        <v>35</v>
      </c>
      <c r="C122" s="2">
        <v>220726045</v>
      </c>
      <c r="D122" s="2" t="s">
        <v>36</v>
      </c>
      <c r="E122" s="2">
        <v>41</v>
      </c>
      <c r="F122" s="15" t="s">
        <v>344</v>
      </c>
      <c r="G122" s="2" t="s">
        <v>337</v>
      </c>
      <c r="H122" s="2" t="s">
        <v>345</v>
      </c>
      <c r="I122" s="2" t="s">
        <v>89</v>
      </c>
      <c r="J122" s="2">
        <v>40.68</v>
      </c>
      <c r="K122" s="2" t="s">
        <v>346</v>
      </c>
      <c r="L122" s="22">
        <f t="shared" si="11"/>
        <v>6297264</v>
      </c>
      <c r="M122" s="2">
        <v>40.549999999999997</v>
      </c>
      <c r="N122" s="21">
        <v>44560.394999999997</v>
      </c>
      <c r="O122" s="22">
        <f t="shared" si="12"/>
        <v>155296.27620221948</v>
      </c>
      <c r="P122" s="2">
        <f t="shared" si="13"/>
        <v>0.13000000000000256</v>
      </c>
      <c r="Q122" s="24">
        <f t="shared" si="14"/>
        <v>0.1017</v>
      </c>
      <c r="R122" s="24">
        <f t="shared" si="15"/>
        <v>2.8300000000002559E-2</v>
      </c>
      <c r="S122" s="23">
        <f t="shared" si="20"/>
        <v>4380.8400000003958</v>
      </c>
      <c r="T122" s="3">
        <v>3500</v>
      </c>
      <c r="U122" s="3">
        <f t="shared" si="16"/>
        <v>141925</v>
      </c>
      <c r="V122" s="2">
        <v>0</v>
      </c>
      <c r="W122" s="2">
        <f t="shared" si="21"/>
        <v>0</v>
      </c>
      <c r="X122" s="25">
        <f t="shared" si="17"/>
        <v>158796.27620221948</v>
      </c>
      <c r="Y122" s="25">
        <f t="shared" si="18"/>
        <v>144504.75584877559</v>
      </c>
      <c r="Z122" s="25">
        <f t="shared" si="19"/>
        <v>144.5047558487756</v>
      </c>
      <c r="AA122" s="2" t="s">
        <v>38</v>
      </c>
      <c r="AB122" s="2" t="s">
        <v>119</v>
      </c>
      <c r="AC122" s="2">
        <v>8559</v>
      </c>
      <c r="AD122" s="2"/>
      <c r="AE122" s="4"/>
    </row>
    <row r="123" spans="1:31" x14ac:dyDescent="0.25">
      <c r="A123" s="1" t="s">
        <v>26</v>
      </c>
      <c r="B123" s="1" t="s">
        <v>27</v>
      </c>
      <c r="C123" s="2">
        <v>220426102</v>
      </c>
      <c r="D123" s="2" t="s">
        <v>28</v>
      </c>
      <c r="E123" s="2">
        <v>41</v>
      </c>
      <c r="F123" s="15">
        <v>190826018950</v>
      </c>
      <c r="G123" s="2" t="s">
        <v>338</v>
      </c>
      <c r="H123" s="2" t="s">
        <v>347</v>
      </c>
      <c r="I123" s="2" t="s">
        <v>51</v>
      </c>
      <c r="J123" s="2">
        <v>40.06</v>
      </c>
      <c r="K123" s="2" t="s">
        <v>116</v>
      </c>
      <c r="L123" s="22">
        <f t="shared" si="11"/>
        <v>5928880</v>
      </c>
      <c r="M123" s="2">
        <v>39.979999999999997</v>
      </c>
      <c r="N123" s="21">
        <v>43934.021999999997</v>
      </c>
      <c r="O123" s="22">
        <f t="shared" si="12"/>
        <v>148296.14807403702</v>
      </c>
      <c r="P123" s="2">
        <f t="shared" si="13"/>
        <v>8.00000000000054E-2</v>
      </c>
      <c r="Q123" s="24">
        <f t="shared" si="14"/>
        <v>0.10015</v>
      </c>
      <c r="R123" s="24">
        <f t="shared" si="15"/>
        <v>-2.0149999999994603E-2</v>
      </c>
      <c r="S123" s="23">
        <f t="shared" si="20"/>
        <v>0</v>
      </c>
      <c r="T123" s="3">
        <v>0</v>
      </c>
      <c r="U123" s="3">
        <f t="shared" si="16"/>
        <v>0</v>
      </c>
      <c r="V123" s="2">
        <v>0</v>
      </c>
      <c r="W123" s="2">
        <f t="shared" si="21"/>
        <v>0</v>
      </c>
      <c r="X123" s="25">
        <f t="shared" si="17"/>
        <v>148296.14807403702</v>
      </c>
      <c r="Y123" s="25">
        <f t="shared" si="18"/>
        <v>134949.62969700337</v>
      </c>
      <c r="Z123" s="25">
        <f t="shared" si="19"/>
        <v>134.94962969700336</v>
      </c>
      <c r="AA123" s="2" t="s">
        <v>108</v>
      </c>
      <c r="AB123" s="2" t="s">
        <v>236</v>
      </c>
      <c r="AC123" s="2">
        <v>330</v>
      </c>
      <c r="AD123" s="2"/>
      <c r="AE123" s="4"/>
    </row>
    <row r="124" spans="1:31" x14ac:dyDescent="0.25">
      <c r="A124" s="1" t="s">
        <v>26</v>
      </c>
      <c r="B124" s="1" t="s">
        <v>27</v>
      </c>
      <c r="C124" s="2">
        <v>220626178</v>
      </c>
      <c r="D124" s="2" t="s">
        <v>28</v>
      </c>
      <c r="E124" s="2">
        <v>40</v>
      </c>
      <c r="F124" s="15">
        <v>192426043322</v>
      </c>
      <c r="G124" s="2" t="s">
        <v>343</v>
      </c>
      <c r="H124" s="2" t="s">
        <v>347</v>
      </c>
      <c r="I124" s="2" t="s">
        <v>106</v>
      </c>
      <c r="J124" s="2">
        <v>39.020000000000003</v>
      </c>
      <c r="K124" s="2" t="s">
        <v>158</v>
      </c>
      <c r="L124" s="22">
        <f t="shared" si="11"/>
        <v>5755450</v>
      </c>
      <c r="M124" s="2">
        <v>38.92</v>
      </c>
      <c r="N124" s="21">
        <v>42769.188000000002</v>
      </c>
      <c r="O124" s="22">
        <f t="shared" si="12"/>
        <v>147878.98252826309</v>
      </c>
      <c r="P124" s="2">
        <f t="shared" si="13"/>
        <v>0.10000000000000142</v>
      </c>
      <c r="Q124" s="24">
        <f t="shared" si="14"/>
        <v>9.7550000000000012E-2</v>
      </c>
      <c r="R124" s="24">
        <f t="shared" si="15"/>
        <v>2.4500000000014094E-3</v>
      </c>
      <c r="S124" s="23">
        <f t="shared" si="20"/>
        <v>361.37500000020788</v>
      </c>
      <c r="T124" s="3">
        <v>0</v>
      </c>
      <c r="U124" s="3">
        <f t="shared" si="16"/>
        <v>0</v>
      </c>
      <c r="V124" s="2">
        <v>0</v>
      </c>
      <c r="W124" s="2">
        <f t="shared" si="21"/>
        <v>0</v>
      </c>
      <c r="X124" s="25">
        <f t="shared" si="17"/>
        <v>147878.98252826309</v>
      </c>
      <c r="Y124" s="25">
        <f t="shared" si="18"/>
        <v>134570.00867072807</v>
      </c>
      <c r="Z124" s="25">
        <f t="shared" si="19"/>
        <v>134.57000867072807</v>
      </c>
      <c r="AA124" s="2" t="s">
        <v>108</v>
      </c>
      <c r="AB124" s="2" t="s">
        <v>173</v>
      </c>
      <c r="AC124" s="2">
        <v>528</v>
      </c>
      <c r="AD124" s="2"/>
      <c r="AE124" s="4"/>
    </row>
    <row r="125" spans="1:31" x14ac:dyDescent="0.25">
      <c r="A125" s="1" t="s">
        <v>26</v>
      </c>
      <c r="B125" s="1" t="s">
        <v>27</v>
      </c>
      <c r="C125" s="2">
        <v>220626178</v>
      </c>
      <c r="D125" s="2" t="s">
        <v>28</v>
      </c>
      <c r="E125" s="2">
        <v>40</v>
      </c>
      <c r="F125" s="15">
        <v>192426043373</v>
      </c>
      <c r="G125" s="2" t="s">
        <v>343</v>
      </c>
      <c r="H125" s="2" t="s">
        <v>347</v>
      </c>
      <c r="I125" s="2" t="s">
        <v>106</v>
      </c>
      <c r="J125" s="2">
        <v>39.08</v>
      </c>
      <c r="K125" s="2" t="s">
        <v>158</v>
      </c>
      <c r="L125" s="22">
        <f t="shared" si="11"/>
        <v>5764300</v>
      </c>
      <c r="M125" s="2">
        <v>39</v>
      </c>
      <c r="N125" s="21">
        <v>42857.100000000006</v>
      </c>
      <c r="O125" s="22">
        <f t="shared" si="12"/>
        <v>147802.56410256409</v>
      </c>
      <c r="P125" s="2">
        <f t="shared" si="13"/>
        <v>7.9999999999998295E-2</v>
      </c>
      <c r="Q125" s="24">
        <f t="shared" si="14"/>
        <v>9.7699999999999995E-2</v>
      </c>
      <c r="R125" s="24">
        <f t="shared" si="15"/>
        <v>-1.77000000000017E-2</v>
      </c>
      <c r="S125" s="23">
        <f t="shared" si="20"/>
        <v>0</v>
      </c>
      <c r="T125" s="3">
        <v>0</v>
      </c>
      <c r="U125" s="3">
        <f t="shared" si="16"/>
        <v>0</v>
      </c>
      <c r="V125" s="2">
        <v>0</v>
      </c>
      <c r="W125" s="2">
        <f t="shared" si="21"/>
        <v>0</v>
      </c>
      <c r="X125" s="25">
        <f t="shared" si="17"/>
        <v>147802.56410256409</v>
      </c>
      <c r="Y125" s="25">
        <f t="shared" si="18"/>
        <v>134500.46783380117</v>
      </c>
      <c r="Z125" s="25">
        <f t="shared" si="19"/>
        <v>134.50046783380117</v>
      </c>
      <c r="AA125" s="2" t="s">
        <v>108</v>
      </c>
      <c r="AB125" s="2" t="s">
        <v>110</v>
      </c>
      <c r="AC125" s="2">
        <v>527</v>
      </c>
      <c r="AD125" s="2"/>
      <c r="AE125" s="4"/>
    </row>
    <row r="126" spans="1:31" x14ac:dyDescent="0.25">
      <c r="A126" s="1" t="s">
        <v>26</v>
      </c>
      <c r="B126" s="1" t="s">
        <v>35</v>
      </c>
      <c r="C126" s="2">
        <v>220726046</v>
      </c>
      <c r="D126" s="2" t="s">
        <v>36</v>
      </c>
      <c r="E126" s="2">
        <v>40</v>
      </c>
      <c r="F126" s="15" t="s">
        <v>348</v>
      </c>
      <c r="G126" s="2" t="s">
        <v>338</v>
      </c>
      <c r="H126" s="2" t="s">
        <v>349</v>
      </c>
      <c r="I126" s="2" t="s">
        <v>106</v>
      </c>
      <c r="J126" s="2">
        <v>39.119999999999997</v>
      </c>
      <c r="K126" s="2" t="s">
        <v>342</v>
      </c>
      <c r="L126" s="22">
        <f t="shared" si="11"/>
        <v>5601984</v>
      </c>
      <c r="M126" s="2">
        <v>38.979999999999997</v>
      </c>
      <c r="N126" s="21">
        <v>42835.121999999996</v>
      </c>
      <c r="O126" s="22">
        <f t="shared" si="12"/>
        <v>143714.31503335046</v>
      </c>
      <c r="P126" s="2">
        <f t="shared" si="13"/>
        <v>0.14000000000000057</v>
      </c>
      <c r="Q126" s="24">
        <f t="shared" si="14"/>
        <v>9.7799999999999998E-2</v>
      </c>
      <c r="R126" s="24">
        <f t="shared" si="15"/>
        <v>4.220000000000057E-2</v>
      </c>
      <c r="S126" s="23">
        <f t="shared" si="20"/>
        <v>6043.0400000000818</v>
      </c>
      <c r="T126" s="3">
        <v>3500</v>
      </c>
      <c r="U126" s="3">
        <f t="shared" si="16"/>
        <v>136430</v>
      </c>
      <c r="V126" s="2">
        <v>0</v>
      </c>
      <c r="W126" s="2">
        <f t="shared" si="21"/>
        <v>0</v>
      </c>
      <c r="X126" s="25">
        <f t="shared" si="17"/>
        <v>147214.31503335046</v>
      </c>
      <c r="Y126" s="25">
        <f t="shared" si="18"/>
        <v>133965.16064550958</v>
      </c>
      <c r="Z126" s="25">
        <f t="shared" si="19"/>
        <v>133.96516064550957</v>
      </c>
      <c r="AA126" s="2" t="s">
        <v>38</v>
      </c>
      <c r="AB126" s="2" t="s">
        <v>39</v>
      </c>
      <c r="AC126" s="2">
        <v>8562</v>
      </c>
      <c r="AD126" s="2"/>
      <c r="AE126" s="4"/>
    </row>
    <row r="127" spans="1:31" x14ac:dyDescent="0.25">
      <c r="A127" s="1" t="s">
        <v>26</v>
      </c>
      <c r="B127" s="1" t="s">
        <v>61</v>
      </c>
      <c r="C127" s="2">
        <v>220726060</v>
      </c>
      <c r="D127" s="2" t="s">
        <v>36</v>
      </c>
      <c r="E127" s="2">
        <v>42</v>
      </c>
      <c r="F127" s="15" t="s">
        <v>350</v>
      </c>
      <c r="G127" s="2" t="s">
        <v>338</v>
      </c>
      <c r="H127" s="2" t="s">
        <v>351</v>
      </c>
      <c r="I127" s="2" t="s">
        <v>64</v>
      </c>
      <c r="J127" s="2">
        <v>41.69</v>
      </c>
      <c r="K127" s="2" t="s">
        <v>202</v>
      </c>
      <c r="L127" s="22">
        <f t="shared" si="11"/>
        <v>6628710</v>
      </c>
      <c r="M127" s="2">
        <v>41.36</v>
      </c>
      <c r="N127" s="21">
        <v>45450.504000000001</v>
      </c>
      <c r="O127" s="22">
        <f t="shared" si="12"/>
        <v>160268.61702127659</v>
      </c>
      <c r="P127" s="2">
        <f t="shared" si="13"/>
        <v>0.32999999999999829</v>
      </c>
      <c r="Q127" s="24">
        <f t="shared" si="14"/>
        <v>0.104225</v>
      </c>
      <c r="R127" s="24">
        <f t="shared" si="15"/>
        <v>0.22577499999999828</v>
      </c>
      <c r="S127" s="23">
        <f t="shared" si="20"/>
        <v>35898.224999999729</v>
      </c>
      <c r="T127" s="3">
        <v>4000</v>
      </c>
      <c r="U127" s="3">
        <f t="shared" si="16"/>
        <v>165440</v>
      </c>
      <c r="V127" s="2">
        <v>0</v>
      </c>
      <c r="W127" s="2">
        <f t="shared" si="21"/>
        <v>0</v>
      </c>
      <c r="X127" s="25">
        <f t="shared" si="17"/>
        <v>164268.61702127659</v>
      </c>
      <c r="Y127" s="25">
        <f t="shared" si="18"/>
        <v>149484.59097395267</v>
      </c>
      <c r="Z127" s="25">
        <f t="shared" si="19"/>
        <v>149.48459097395266</v>
      </c>
      <c r="AA127" s="2" t="s">
        <v>38</v>
      </c>
      <c r="AB127" s="2" t="s">
        <v>42</v>
      </c>
      <c r="AC127" s="2">
        <v>8630</v>
      </c>
      <c r="AD127" s="2"/>
      <c r="AE127" s="4"/>
    </row>
    <row r="128" spans="1:31" x14ac:dyDescent="0.25">
      <c r="A128" s="1" t="s">
        <v>26</v>
      </c>
      <c r="B128" s="1" t="s">
        <v>27</v>
      </c>
      <c r="C128" s="2">
        <v>220426102</v>
      </c>
      <c r="D128" s="2" t="s">
        <v>28</v>
      </c>
      <c r="E128" s="2">
        <v>39</v>
      </c>
      <c r="F128" s="15">
        <v>190826019522</v>
      </c>
      <c r="G128" s="2" t="s">
        <v>345</v>
      </c>
      <c r="H128" s="2" t="s">
        <v>351</v>
      </c>
      <c r="I128" s="2" t="s">
        <v>51</v>
      </c>
      <c r="J128" s="2">
        <v>38.880000000000003</v>
      </c>
      <c r="K128" s="2" t="s">
        <v>116</v>
      </c>
      <c r="L128" s="22">
        <f t="shared" si="11"/>
        <v>5754240</v>
      </c>
      <c r="M128" s="2">
        <v>38.82</v>
      </c>
      <c r="N128" s="21">
        <v>42659.298000000003</v>
      </c>
      <c r="O128" s="22">
        <f t="shared" si="12"/>
        <v>148228.74806800619</v>
      </c>
      <c r="P128" s="2">
        <f t="shared" si="13"/>
        <v>6.0000000000002274E-2</v>
      </c>
      <c r="Q128" s="24">
        <f t="shared" si="14"/>
        <v>9.7200000000000009E-2</v>
      </c>
      <c r="R128" s="24">
        <f t="shared" si="15"/>
        <v>-3.7199999999997735E-2</v>
      </c>
      <c r="S128" s="23">
        <f t="shared" si="20"/>
        <v>0</v>
      </c>
      <c r="T128" s="3">
        <v>0</v>
      </c>
      <c r="U128" s="3">
        <f t="shared" si="16"/>
        <v>0</v>
      </c>
      <c r="V128" s="2">
        <v>0</v>
      </c>
      <c r="W128" s="2">
        <f t="shared" si="21"/>
        <v>0</v>
      </c>
      <c r="X128" s="25">
        <f t="shared" si="17"/>
        <v>148228.74806800619</v>
      </c>
      <c r="Y128" s="25">
        <f t="shared" si="18"/>
        <v>134888.29563018127</v>
      </c>
      <c r="Z128" s="25">
        <f t="shared" si="19"/>
        <v>134.88829563018126</v>
      </c>
      <c r="AA128" s="2" t="s">
        <v>53</v>
      </c>
      <c r="AB128" s="2" t="s">
        <v>290</v>
      </c>
      <c r="AC128" s="2">
        <v>14601</v>
      </c>
      <c r="AD128" s="2"/>
      <c r="AE128" s="4"/>
    </row>
    <row r="129" spans="1:31" x14ac:dyDescent="0.25">
      <c r="A129" s="1" t="s">
        <v>26</v>
      </c>
      <c r="B129" s="1" t="s">
        <v>35</v>
      </c>
      <c r="C129" s="2">
        <v>220726046</v>
      </c>
      <c r="D129" s="2" t="s">
        <v>36</v>
      </c>
      <c r="E129" s="2">
        <v>41</v>
      </c>
      <c r="F129" s="15" t="s">
        <v>352</v>
      </c>
      <c r="G129" s="2" t="s">
        <v>349</v>
      </c>
      <c r="H129" s="2" t="s">
        <v>353</v>
      </c>
      <c r="I129" s="2" t="s">
        <v>106</v>
      </c>
      <c r="J129" s="2">
        <v>40.229999999999997</v>
      </c>
      <c r="K129" s="2" t="s">
        <v>342</v>
      </c>
      <c r="L129" s="22">
        <f t="shared" si="11"/>
        <v>5760936</v>
      </c>
      <c r="M129" s="2">
        <v>40.1</v>
      </c>
      <c r="N129" s="21">
        <v>44065.890000000007</v>
      </c>
      <c r="O129" s="22">
        <f t="shared" si="12"/>
        <v>143664.23940149625</v>
      </c>
      <c r="P129" s="2">
        <f t="shared" si="13"/>
        <v>0.12999999999999545</v>
      </c>
      <c r="Q129" s="24">
        <f t="shared" si="14"/>
        <v>0.100575</v>
      </c>
      <c r="R129" s="24">
        <f t="shared" si="15"/>
        <v>2.9424999999995455E-2</v>
      </c>
      <c r="S129" s="23">
        <f t="shared" si="20"/>
        <v>4213.6599999993496</v>
      </c>
      <c r="T129" s="3">
        <v>3500</v>
      </c>
      <c r="U129" s="3">
        <f t="shared" si="16"/>
        <v>140350</v>
      </c>
      <c r="V129" s="2">
        <v>0</v>
      </c>
      <c r="W129" s="2">
        <f t="shared" si="21"/>
        <v>0</v>
      </c>
      <c r="X129" s="25">
        <f t="shared" si="17"/>
        <v>147164.23940149625</v>
      </c>
      <c r="Y129" s="25">
        <f t="shared" si="18"/>
        <v>133919.59177495335</v>
      </c>
      <c r="Z129" s="25">
        <f t="shared" si="19"/>
        <v>133.91959177495335</v>
      </c>
      <c r="AA129" s="2" t="s">
        <v>38</v>
      </c>
      <c r="AB129" s="2" t="s">
        <v>41</v>
      </c>
      <c r="AC129" s="2">
        <v>8563</v>
      </c>
      <c r="AD129" s="2"/>
      <c r="AE129" s="4"/>
    </row>
    <row r="130" spans="1:31" x14ac:dyDescent="0.25">
      <c r="A130" s="1" t="s">
        <v>26</v>
      </c>
      <c r="B130" s="1" t="s">
        <v>35</v>
      </c>
      <c r="C130" s="2">
        <v>220726046</v>
      </c>
      <c r="D130" s="2" t="s">
        <v>36</v>
      </c>
      <c r="E130" s="2">
        <v>40</v>
      </c>
      <c r="F130" s="15" t="s">
        <v>354</v>
      </c>
      <c r="G130" s="2" t="s">
        <v>349</v>
      </c>
      <c r="H130" s="2" t="s">
        <v>353</v>
      </c>
      <c r="I130" s="2" t="s">
        <v>106</v>
      </c>
      <c r="J130" s="2">
        <v>39.869999999999997</v>
      </c>
      <c r="K130" s="2" t="s">
        <v>342</v>
      </c>
      <c r="L130" s="22">
        <f t="shared" si="11"/>
        <v>5709384</v>
      </c>
      <c r="M130" s="2">
        <v>39.71</v>
      </c>
      <c r="N130" s="21">
        <v>43637.318999999996</v>
      </c>
      <c r="O130" s="22">
        <f t="shared" si="12"/>
        <v>143776.98312767566</v>
      </c>
      <c r="P130" s="2">
        <f t="shared" si="13"/>
        <v>0.15999999999999659</v>
      </c>
      <c r="Q130" s="24">
        <f t="shared" si="14"/>
        <v>9.9675E-2</v>
      </c>
      <c r="R130" s="24">
        <f t="shared" si="15"/>
        <v>6.032499999999659E-2</v>
      </c>
      <c r="S130" s="23">
        <f t="shared" si="20"/>
        <v>8638.5399999995116</v>
      </c>
      <c r="T130" s="3">
        <v>3500</v>
      </c>
      <c r="U130" s="3">
        <f t="shared" si="16"/>
        <v>138985</v>
      </c>
      <c r="V130" s="2">
        <v>0</v>
      </c>
      <c r="W130" s="2">
        <f t="shared" si="21"/>
        <v>0</v>
      </c>
      <c r="X130" s="25">
        <f t="shared" si="17"/>
        <v>147276.98312767566</v>
      </c>
      <c r="Y130" s="25">
        <f t="shared" si="18"/>
        <v>134022.18866837351</v>
      </c>
      <c r="Z130" s="25">
        <f t="shared" si="19"/>
        <v>134.0221886683735</v>
      </c>
      <c r="AA130" s="2" t="s">
        <v>38</v>
      </c>
      <c r="AB130" s="2" t="s">
        <v>119</v>
      </c>
      <c r="AC130" s="2">
        <v>8564</v>
      </c>
      <c r="AD130" s="2"/>
      <c r="AE130" s="4"/>
    </row>
    <row r="131" spans="1:31" x14ac:dyDescent="0.25">
      <c r="A131" s="1" t="s">
        <v>26</v>
      </c>
      <c r="B131" s="1" t="s">
        <v>35</v>
      </c>
      <c r="C131" s="2">
        <v>220726045</v>
      </c>
      <c r="D131" s="2" t="s">
        <v>36</v>
      </c>
      <c r="E131" s="2">
        <v>40</v>
      </c>
      <c r="F131" s="15" t="s">
        <v>355</v>
      </c>
      <c r="G131" s="2" t="s">
        <v>338</v>
      </c>
      <c r="H131" s="2" t="s">
        <v>353</v>
      </c>
      <c r="I131" s="2" t="s">
        <v>89</v>
      </c>
      <c r="J131" s="2">
        <v>39.659999999999997</v>
      </c>
      <c r="K131" s="2" t="s">
        <v>346</v>
      </c>
      <c r="L131" s="22">
        <f t="shared" ref="L131:L148" si="22">J131*K131</f>
        <v>6139367.9999999991</v>
      </c>
      <c r="M131" s="2">
        <v>39.5</v>
      </c>
      <c r="N131" s="21">
        <v>43406.55</v>
      </c>
      <c r="O131" s="22">
        <f t="shared" ref="O131:O148" si="23">L131/M131</f>
        <v>155427.03797468351</v>
      </c>
      <c r="P131" s="2">
        <f t="shared" ref="P131:P148" si="24">J131-M131</f>
        <v>0.15999999999999659</v>
      </c>
      <c r="Q131" s="24">
        <f t="shared" ref="Q131:Q148" si="25">J131*0.25%</f>
        <v>9.9149999999999988E-2</v>
      </c>
      <c r="R131" s="24">
        <f t="shared" ref="R131:R148" si="26">P131-Q131</f>
        <v>6.0849999999996601E-2</v>
      </c>
      <c r="S131" s="23">
        <f t="shared" si="20"/>
        <v>9419.5799999994742</v>
      </c>
      <c r="T131" s="3">
        <v>3500</v>
      </c>
      <c r="U131" s="3">
        <f t="shared" ref="U131:U148" si="27">T131*M131</f>
        <v>138250</v>
      </c>
      <c r="V131" s="2">
        <v>0</v>
      </c>
      <c r="W131" s="2">
        <f t="shared" si="21"/>
        <v>0</v>
      </c>
      <c r="X131" s="25">
        <f t="shared" ref="X131:X148" si="28">(L131+U131+W131)/M131</f>
        <v>158927.03797468351</v>
      </c>
      <c r="Y131" s="25">
        <f t="shared" ref="Y131:Y148" si="29">X131/1.0989</f>
        <v>144623.74918071117</v>
      </c>
      <c r="Z131" s="25">
        <f t="shared" ref="Z131:Z148" si="30">Y131/1000</f>
        <v>144.62374918071117</v>
      </c>
      <c r="AA131" s="2" t="s">
        <v>38</v>
      </c>
      <c r="AB131" s="2" t="s">
        <v>68</v>
      </c>
      <c r="AC131" s="2">
        <v>8561</v>
      </c>
      <c r="AD131" s="2"/>
      <c r="AE131" s="4"/>
    </row>
    <row r="132" spans="1:31" x14ac:dyDescent="0.25">
      <c r="A132" s="1" t="s">
        <v>26</v>
      </c>
      <c r="B132" s="1" t="s">
        <v>61</v>
      </c>
      <c r="C132" s="2">
        <v>220726062</v>
      </c>
      <c r="D132" s="2" t="s">
        <v>36</v>
      </c>
      <c r="E132" s="2">
        <v>42</v>
      </c>
      <c r="F132" s="15" t="s">
        <v>356</v>
      </c>
      <c r="G132" s="2" t="s">
        <v>345</v>
      </c>
      <c r="H132" s="2" t="s">
        <v>357</v>
      </c>
      <c r="I132" s="2" t="s">
        <v>358</v>
      </c>
      <c r="J132" s="2">
        <v>41.575000000000003</v>
      </c>
      <c r="K132" s="2" t="s">
        <v>127</v>
      </c>
      <c r="L132" s="22">
        <f t="shared" si="22"/>
        <v>6652000</v>
      </c>
      <c r="M132" s="2">
        <v>41.29</v>
      </c>
      <c r="N132" s="21">
        <v>45373.580999999998</v>
      </c>
      <c r="O132" s="22">
        <f t="shared" si="23"/>
        <v>161104.3836279971</v>
      </c>
      <c r="P132" s="2">
        <f t="shared" si="24"/>
        <v>0.28500000000000369</v>
      </c>
      <c r="Q132" s="24">
        <f t="shared" si="25"/>
        <v>0.10393750000000002</v>
      </c>
      <c r="R132" s="24">
        <f t="shared" si="26"/>
        <v>0.18106250000000368</v>
      </c>
      <c r="S132" s="23">
        <f t="shared" si="20"/>
        <v>28970.000000000589</v>
      </c>
      <c r="T132" s="3">
        <v>4000</v>
      </c>
      <c r="U132" s="3">
        <f t="shared" si="27"/>
        <v>165160</v>
      </c>
      <c r="V132" s="2">
        <v>0</v>
      </c>
      <c r="W132" s="2">
        <f t="shared" si="21"/>
        <v>0</v>
      </c>
      <c r="X132" s="25">
        <f t="shared" si="28"/>
        <v>165104.3836279971</v>
      </c>
      <c r="Y132" s="25">
        <f t="shared" si="29"/>
        <v>150245.13934661672</v>
      </c>
      <c r="Z132" s="25">
        <f t="shared" si="30"/>
        <v>150.24513934661672</v>
      </c>
      <c r="AA132" s="2" t="s">
        <v>38</v>
      </c>
      <c r="AB132" s="2" t="s">
        <v>46</v>
      </c>
      <c r="AC132" s="2">
        <v>8725</v>
      </c>
      <c r="AD132" s="2"/>
      <c r="AE132" s="4"/>
    </row>
    <row r="133" spans="1:31" x14ac:dyDescent="0.25">
      <c r="A133" s="1" t="s">
        <v>26</v>
      </c>
      <c r="B133" s="1" t="s">
        <v>27</v>
      </c>
      <c r="C133" s="2">
        <v>220626178</v>
      </c>
      <c r="D133" s="2" t="s">
        <v>28</v>
      </c>
      <c r="E133" s="2">
        <v>40</v>
      </c>
      <c r="F133" s="15">
        <v>192426045892</v>
      </c>
      <c r="G133" s="2" t="s">
        <v>349</v>
      </c>
      <c r="H133" s="2" t="s">
        <v>357</v>
      </c>
      <c r="I133" s="2" t="s">
        <v>106</v>
      </c>
      <c r="J133" s="2">
        <v>39.880000000000003</v>
      </c>
      <c r="K133" s="2" t="s">
        <v>158</v>
      </c>
      <c r="L133" s="22">
        <f t="shared" si="22"/>
        <v>5882300</v>
      </c>
      <c r="M133" s="2">
        <v>39.799999999999997</v>
      </c>
      <c r="N133" s="21">
        <v>43736.219999999994</v>
      </c>
      <c r="O133" s="22">
        <f t="shared" si="23"/>
        <v>147796.48241206032</v>
      </c>
      <c r="P133" s="2">
        <f t="shared" si="24"/>
        <v>8.00000000000054E-2</v>
      </c>
      <c r="Q133" s="24">
        <f t="shared" si="25"/>
        <v>9.9700000000000011E-2</v>
      </c>
      <c r="R133" s="24">
        <f t="shared" si="26"/>
        <v>-1.9699999999994611E-2</v>
      </c>
      <c r="S133" s="23">
        <f t="shared" ref="S133:S148" si="31">IF(R133&gt;0,R133*K133,0)</f>
        <v>0</v>
      </c>
      <c r="T133" s="3">
        <v>0</v>
      </c>
      <c r="U133" s="3">
        <f t="shared" si="27"/>
        <v>0</v>
      </c>
      <c r="V133" s="2">
        <v>0</v>
      </c>
      <c r="W133" s="2">
        <f t="shared" ref="W133:W148" si="32">V133*J133</f>
        <v>0</v>
      </c>
      <c r="X133" s="25">
        <f t="shared" si="28"/>
        <v>147796.48241206032</v>
      </c>
      <c r="Y133" s="25">
        <f t="shared" si="29"/>
        <v>134494.93348990838</v>
      </c>
      <c r="Z133" s="25">
        <f t="shared" si="30"/>
        <v>134.49493348990839</v>
      </c>
      <c r="AA133" s="2" t="s">
        <v>108</v>
      </c>
      <c r="AB133" s="2" t="s">
        <v>339</v>
      </c>
      <c r="AC133" s="2">
        <v>534</v>
      </c>
      <c r="AD133" s="2"/>
      <c r="AE133" s="4"/>
    </row>
    <row r="134" spans="1:31" x14ac:dyDescent="0.25">
      <c r="A134" s="1" t="s">
        <v>26</v>
      </c>
      <c r="B134" s="1" t="s">
        <v>61</v>
      </c>
      <c r="C134" s="2">
        <v>220726076</v>
      </c>
      <c r="D134" s="2" t="s">
        <v>36</v>
      </c>
      <c r="E134" s="2">
        <v>41</v>
      </c>
      <c r="F134" s="15" t="s">
        <v>359</v>
      </c>
      <c r="G134" s="2" t="s">
        <v>349</v>
      </c>
      <c r="H134" s="2" t="s">
        <v>360</v>
      </c>
      <c r="I134" s="2" t="s">
        <v>64</v>
      </c>
      <c r="J134" s="2">
        <v>40.98</v>
      </c>
      <c r="K134" s="2" t="s">
        <v>127</v>
      </c>
      <c r="L134" s="22">
        <f t="shared" si="22"/>
        <v>6556799.9999999991</v>
      </c>
      <c r="M134" s="2">
        <v>40.68</v>
      </c>
      <c r="N134" s="21">
        <v>44703.252</v>
      </c>
      <c r="O134" s="22">
        <f t="shared" si="23"/>
        <v>161179.94100294984</v>
      </c>
      <c r="P134" s="2">
        <f t="shared" si="24"/>
        <v>0.29999999999999716</v>
      </c>
      <c r="Q134" s="24">
        <f t="shared" si="25"/>
        <v>0.10245</v>
      </c>
      <c r="R134" s="24">
        <f t="shared" si="26"/>
        <v>0.19754999999999717</v>
      </c>
      <c r="S134" s="23">
        <f t="shared" si="31"/>
        <v>31607.999999999549</v>
      </c>
      <c r="T134" s="3">
        <v>4000</v>
      </c>
      <c r="U134" s="3">
        <f t="shared" si="27"/>
        <v>162720</v>
      </c>
      <c r="V134" s="2">
        <v>0</v>
      </c>
      <c r="W134" s="2">
        <f t="shared" si="32"/>
        <v>0</v>
      </c>
      <c r="X134" s="25">
        <f t="shared" si="28"/>
        <v>165179.94100294984</v>
      </c>
      <c r="Y134" s="25">
        <f t="shared" si="29"/>
        <v>150313.89662658097</v>
      </c>
      <c r="Z134" s="25">
        <f t="shared" si="30"/>
        <v>150.31389662658097</v>
      </c>
      <c r="AA134" s="2" t="s">
        <v>38</v>
      </c>
      <c r="AB134" s="2" t="s">
        <v>43</v>
      </c>
      <c r="AC134" s="2">
        <v>8615</v>
      </c>
      <c r="AD134" s="2"/>
      <c r="AE134" s="4"/>
    </row>
    <row r="135" spans="1:31" x14ac:dyDescent="0.25">
      <c r="A135" s="1" t="s">
        <v>26</v>
      </c>
      <c r="B135" s="1" t="s">
        <v>27</v>
      </c>
      <c r="C135" s="2">
        <v>220526066</v>
      </c>
      <c r="D135" s="2" t="s">
        <v>28</v>
      </c>
      <c r="E135" s="2">
        <v>39</v>
      </c>
      <c r="F135" s="15">
        <v>190826019517</v>
      </c>
      <c r="G135" s="2" t="s">
        <v>345</v>
      </c>
      <c r="H135" s="2" t="s">
        <v>361</v>
      </c>
      <c r="I135" s="2" t="s">
        <v>362</v>
      </c>
      <c r="J135" s="2">
        <v>38.380000000000003</v>
      </c>
      <c r="K135" s="2" t="s">
        <v>139</v>
      </c>
      <c r="L135" s="22">
        <f t="shared" si="22"/>
        <v>5737810</v>
      </c>
      <c r="M135" s="2">
        <v>38.369999999999997</v>
      </c>
      <c r="N135" s="21">
        <v>42164.792999999998</v>
      </c>
      <c r="O135" s="22">
        <f t="shared" si="23"/>
        <v>149538.9627313005</v>
      </c>
      <c r="P135" s="2">
        <f t="shared" si="24"/>
        <v>1.0000000000005116E-2</v>
      </c>
      <c r="Q135" s="24">
        <f t="shared" si="25"/>
        <v>9.5950000000000008E-2</v>
      </c>
      <c r="R135" s="24">
        <f t="shared" si="26"/>
        <v>-8.5949999999994892E-2</v>
      </c>
      <c r="S135" s="23">
        <f t="shared" si="31"/>
        <v>0</v>
      </c>
      <c r="T135" s="3">
        <v>0</v>
      </c>
      <c r="U135" s="3">
        <f t="shared" si="27"/>
        <v>0</v>
      </c>
      <c r="V135" s="2">
        <v>0</v>
      </c>
      <c r="W135" s="2">
        <f t="shared" si="32"/>
        <v>0</v>
      </c>
      <c r="X135" s="25">
        <f t="shared" si="28"/>
        <v>149538.9627313005</v>
      </c>
      <c r="Y135" s="25">
        <f t="shared" si="29"/>
        <v>136080.59216607563</v>
      </c>
      <c r="Z135" s="25">
        <f t="shared" si="30"/>
        <v>136.08059216607563</v>
      </c>
      <c r="AA135" s="2" t="s">
        <v>242</v>
      </c>
      <c r="AB135" s="2" t="s">
        <v>284</v>
      </c>
      <c r="AC135" s="2">
        <v>51438</v>
      </c>
      <c r="AD135" s="2"/>
      <c r="AE135" s="4"/>
    </row>
    <row r="136" spans="1:31" x14ac:dyDescent="0.25">
      <c r="A136" s="1" t="s">
        <v>26</v>
      </c>
      <c r="B136" s="1" t="s">
        <v>155</v>
      </c>
      <c r="C136" s="2">
        <v>220726101</v>
      </c>
      <c r="D136" s="2" t="s">
        <v>28</v>
      </c>
      <c r="E136" s="2">
        <v>41</v>
      </c>
      <c r="F136" s="15" t="s">
        <v>363</v>
      </c>
      <c r="G136" s="2" t="s">
        <v>351</v>
      </c>
      <c r="H136" s="2" t="s">
        <v>361</v>
      </c>
      <c r="I136" s="2" t="s">
        <v>31</v>
      </c>
      <c r="J136" s="2">
        <v>40.06</v>
      </c>
      <c r="K136" s="2" t="s">
        <v>116</v>
      </c>
      <c r="L136" s="22">
        <f t="shared" si="22"/>
        <v>5928880</v>
      </c>
      <c r="M136" s="2">
        <v>40.020000000000003</v>
      </c>
      <c r="N136" s="21">
        <v>43977.978000000003</v>
      </c>
      <c r="O136" s="22">
        <f t="shared" si="23"/>
        <v>148147.92603698149</v>
      </c>
      <c r="P136" s="2">
        <f t="shared" si="24"/>
        <v>3.9999999999999147E-2</v>
      </c>
      <c r="Q136" s="24">
        <f t="shared" si="25"/>
        <v>0.10015</v>
      </c>
      <c r="R136" s="24">
        <f t="shared" si="26"/>
        <v>-6.0150000000000856E-2</v>
      </c>
      <c r="S136" s="23">
        <f t="shared" si="31"/>
        <v>0</v>
      </c>
      <c r="T136" s="3">
        <v>0</v>
      </c>
      <c r="U136" s="3">
        <f t="shared" si="27"/>
        <v>0</v>
      </c>
      <c r="V136" s="2">
        <v>0</v>
      </c>
      <c r="W136" s="2">
        <f t="shared" si="32"/>
        <v>0</v>
      </c>
      <c r="X136" s="25">
        <f t="shared" si="28"/>
        <v>148147.92603698149</v>
      </c>
      <c r="Y136" s="25">
        <f t="shared" si="29"/>
        <v>134814.74750840067</v>
      </c>
      <c r="Z136" s="25">
        <f t="shared" si="30"/>
        <v>134.81474750840067</v>
      </c>
      <c r="AA136" s="2" t="s">
        <v>108</v>
      </c>
      <c r="AB136" s="2" t="s">
        <v>236</v>
      </c>
      <c r="AC136" s="2">
        <v>332</v>
      </c>
      <c r="AD136" s="2"/>
      <c r="AE136" s="4"/>
    </row>
    <row r="137" spans="1:31" x14ac:dyDescent="0.25">
      <c r="A137" s="1" t="s">
        <v>26</v>
      </c>
      <c r="B137" s="1" t="s">
        <v>27</v>
      </c>
      <c r="C137" s="2">
        <v>220626178</v>
      </c>
      <c r="D137" s="2" t="s">
        <v>28</v>
      </c>
      <c r="E137" s="2">
        <v>40</v>
      </c>
      <c r="F137" s="15">
        <v>192426046425</v>
      </c>
      <c r="G137" s="2" t="s">
        <v>351</v>
      </c>
      <c r="H137" s="2" t="s">
        <v>361</v>
      </c>
      <c r="I137" s="2" t="s">
        <v>106</v>
      </c>
      <c r="J137" s="2">
        <v>39.590000000000003</v>
      </c>
      <c r="K137" s="2" t="s">
        <v>158</v>
      </c>
      <c r="L137" s="22">
        <f t="shared" si="22"/>
        <v>5839525.0000000009</v>
      </c>
      <c r="M137" s="2">
        <v>39.47</v>
      </c>
      <c r="N137" s="21">
        <v>43373.582999999999</v>
      </c>
      <c r="O137" s="22">
        <f t="shared" si="23"/>
        <v>147948.44185457312</v>
      </c>
      <c r="P137" s="2">
        <f t="shared" si="24"/>
        <v>0.12000000000000455</v>
      </c>
      <c r="Q137" s="24">
        <f t="shared" si="25"/>
        <v>9.8975000000000007E-2</v>
      </c>
      <c r="R137" s="24">
        <f t="shared" si="26"/>
        <v>2.102500000000454E-2</v>
      </c>
      <c r="S137" s="23">
        <f t="shared" si="31"/>
        <v>3101.1875000006698</v>
      </c>
      <c r="T137" s="3">
        <v>0</v>
      </c>
      <c r="U137" s="3">
        <f t="shared" si="27"/>
        <v>0</v>
      </c>
      <c r="V137" s="2">
        <v>0</v>
      </c>
      <c r="W137" s="2">
        <f t="shared" si="32"/>
        <v>0</v>
      </c>
      <c r="X137" s="25">
        <f t="shared" si="28"/>
        <v>147948.44185457312</v>
      </c>
      <c r="Y137" s="25">
        <f t="shared" si="29"/>
        <v>134633.21672087826</v>
      </c>
      <c r="Z137" s="25">
        <f t="shared" si="30"/>
        <v>134.63321672087827</v>
      </c>
      <c r="AA137" s="2" t="s">
        <v>53</v>
      </c>
      <c r="AB137" s="2" t="s">
        <v>364</v>
      </c>
      <c r="AC137" s="2">
        <v>16041</v>
      </c>
      <c r="AD137" s="2"/>
      <c r="AE137" s="4"/>
    </row>
    <row r="138" spans="1:31" x14ac:dyDescent="0.25">
      <c r="A138" s="1" t="s">
        <v>26</v>
      </c>
      <c r="B138" s="1" t="s">
        <v>27</v>
      </c>
      <c r="C138" s="2">
        <v>220626178</v>
      </c>
      <c r="D138" s="2" t="s">
        <v>28</v>
      </c>
      <c r="E138" s="2">
        <v>40</v>
      </c>
      <c r="F138" s="15">
        <v>192426047772</v>
      </c>
      <c r="G138" s="2" t="s">
        <v>357</v>
      </c>
      <c r="H138" s="2" t="s">
        <v>365</v>
      </c>
      <c r="I138" s="2" t="s">
        <v>106</v>
      </c>
      <c r="J138" s="2">
        <v>35.979999999999997</v>
      </c>
      <c r="K138" s="2" t="s">
        <v>158</v>
      </c>
      <c r="L138" s="22">
        <f t="shared" si="22"/>
        <v>5307050</v>
      </c>
      <c r="M138" s="2">
        <v>35.9</v>
      </c>
      <c r="N138" s="21">
        <v>39450.51</v>
      </c>
      <c r="O138" s="22">
        <f t="shared" si="23"/>
        <v>147828.69080779946</v>
      </c>
      <c r="P138" s="2">
        <f t="shared" si="24"/>
        <v>7.9999999999998295E-2</v>
      </c>
      <c r="Q138" s="24">
        <f t="shared" si="25"/>
        <v>8.9949999999999988E-2</v>
      </c>
      <c r="R138" s="24">
        <f t="shared" si="26"/>
        <v>-9.9500000000016936E-3</v>
      </c>
      <c r="S138" s="23">
        <f t="shared" si="31"/>
        <v>0</v>
      </c>
      <c r="T138" s="3">
        <v>0</v>
      </c>
      <c r="U138" s="3">
        <f t="shared" si="27"/>
        <v>0</v>
      </c>
      <c r="V138" s="2">
        <v>0</v>
      </c>
      <c r="W138" s="2">
        <f t="shared" si="32"/>
        <v>0</v>
      </c>
      <c r="X138" s="25">
        <f t="shared" si="28"/>
        <v>147828.69080779946</v>
      </c>
      <c r="Y138" s="25">
        <f t="shared" si="29"/>
        <v>134524.24315934067</v>
      </c>
      <c r="Z138" s="25">
        <f t="shared" si="30"/>
        <v>134.52424315934067</v>
      </c>
      <c r="AA138" s="2" t="s">
        <v>366</v>
      </c>
      <c r="AB138" s="2" t="s">
        <v>367</v>
      </c>
      <c r="AC138" s="2">
        <v>50900</v>
      </c>
      <c r="AD138" s="2"/>
      <c r="AE138" s="4"/>
    </row>
    <row r="139" spans="1:31" x14ac:dyDescent="0.25">
      <c r="A139" s="1" t="s">
        <v>26</v>
      </c>
      <c r="B139" s="1" t="s">
        <v>61</v>
      </c>
      <c r="C139" s="2">
        <v>220726069</v>
      </c>
      <c r="D139" s="2" t="s">
        <v>36</v>
      </c>
      <c r="E139" s="2">
        <v>41</v>
      </c>
      <c r="F139" s="15" t="s">
        <v>368</v>
      </c>
      <c r="G139" s="2" t="s">
        <v>369</v>
      </c>
      <c r="H139" s="2" t="s">
        <v>370</v>
      </c>
      <c r="I139" s="2" t="s">
        <v>358</v>
      </c>
      <c r="J139" s="2">
        <v>40.04</v>
      </c>
      <c r="K139" s="2" t="s">
        <v>371</v>
      </c>
      <c r="L139" s="22">
        <f t="shared" si="22"/>
        <v>6506500</v>
      </c>
      <c r="M139" s="2">
        <v>39.79</v>
      </c>
      <c r="N139" s="21">
        <v>43725.231</v>
      </c>
      <c r="O139" s="22">
        <f t="shared" si="23"/>
        <v>163520.9851721538</v>
      </c>
      <c r="P139" s="2">
        <f t="shared" si="24"/>
        <v>0.25</v>
      </c>
      <c r="Q139" s="24">
        <f t="shared" si="25"/>
        <v>0.10009999999999999</v>
      </c>
      <c r="R139" s="24">
        <f t="shared" si="26"/>
        <v>0.14990000000000001</v>
      </c>
      <c r="S139" s="23">
        <f t="shared" si="31"/>
        <v>24358.75</v>
      </c>
      <c r="T139" s="3">
        <v>4000</v>
      </c>
      <c r="U139" s="3">
        <f t="shared" si="27"/>
        <v>159160</v>
      </c>
      <c r="V139" s="2">
        <v>0</v>
      </c>
      <c r="W139" s="2">
        <f t="shared" si="32"/>
        <v>0</v>
      </c>
      <c r="X139" s="25">
        <f t="shared" si="28"/>
        <v>167520.9851721538</v>
      </c>
      <c r="Y139" s="25">
        <f t="shared" si="29"/>
        <v>152444.24895090892</v>
      </c>
      <c r="Z139" s="25">
        <f t="shared" si="30"/>
        <v>152.44424895090893</v>
      </c>
      <c r="AA139" s="2" t="s">
        <v>38</v>
      </c>
      <c r="AB139" s="2" t="s">
        <v>184</v>
      </c>
      <c r="AC139" s="2">
        <v>8738</v>
      </c>
      <c r="AD139" s="2"/>
      <c r="AE139" s="4"/>
    </row>
    <row r="140" spans="1:31" x14ac:dyDescent="0.25">
      <c r="A140" s="1" t="s">
        <v>26</v>
      </c>
      <c r="B140" s="1" t="s">
        <v>27</v>
      </c>
      <c r="C140" s="2">
        <v>220626178</v>
      </c>
      <c r="D140" s="2" t="s">
        <v>28</v>
      </c>
      <c r="E140" s="2">
        <v>39</v>
      </c>
      <c r="F140" s="15">
        <v>192426047782</v>
      </c>
      <c r="G140" s="2" t="s">
        <v>357</v>
      </c>
      <c r="H140" s="2" t="s">
        <v>370</v>
      </c>
      <c r="I140" s="2" t="s">
        <v>106</v>
      </c>
      <c r="J140" s="2">
        <v>38.92</v>
      </c>
      <c r="K140" s="2" t="s">
        <v>158</v>
      </c>
      <c r="L140" s="22">
        <f t="shared" si="22"/>
        <v>5740700</v>
      </c>
      <c r="M140" s="2">
        <v>38.82</v>
      </c>
      <c r="N140" s="21">
        <v>42659.298000000003</v>
      </c>
      <c r="O140" s="22">
        <f t="shared" si="23"/>
        <v>147879.95878413189</v>
      </c>
      <c r="P140" s="2">
        <f t="shared" si="24"/>
        <v>0.10000000000000142</v>
      </c>
      <c r="Q140" s="24">
        <f t="shared" si="25"/>
        <v>9.7300000000000011E-2</v>
      </c>
      <c r="R140" s="24">
        <f t="shared" si="26"/>
        <v>2.7000000000014096E-3</v>
      </c>
      <c r="S140" s="23">
        <f t="shared" si="31"/>
        <v>398.25000000020793</v>
      </c>
      <c r="T140" s="3">
        <v>0</v>
      </c>
      <c r="U140" s="3">
        <f t="shared" si="27"/>
        <v>0</v>
      </c>
      <c r="V140" s="2">
        <v>0</v>
      </c>
      <c r="W140" s="2">
        <f t="shared" si="32"/>
        <v>0</v>
      </c>
      <c r="X140" s="25">
        <f t="shared" si="28"/>
        <v>147879.95878413189</v>
      </c>
      <c r="Y140" s="25">
        <f t="shared" si="29"/>
        <v>134570.89706445709</v>
      </c>
      <c r="Z140" s="25">
        <f t="shared" si="30"/>
        <v>134.57089706445709</v>
      </c>
      <c r="AA140" s="2" t="s">
        <v>108</v>
      </c>
      <c r="AB140" s="2" t="s">
        <v>173</v>
      </c>
      <c r="AC140" s="2">
        <v>539</v>
      </c>
      <c r="AD140" s="2"/>
      <c r="AE140" s="4"/>
    </row>
    <row r="141" spans="1:31" x14ac:dyDescent="0.25">
      <c r="A141" s="1" t="s">
        <v>26</v>
      </c>
      <c r="B141" s="1" t="s">
        <v>155</v>
      </c>
      <c r="C141" s="2">
        <v>220726101</v>
      </c>
      <c r="D141" s="2" t="s">
        <v>28</v>
      </c>
      <c r="E141" s="2">
        <v>40</v>
      </c>
      <c r="F141" s="15" t="s">
        <v>372</v>
      </c>
      <c r="G141" s="2" t="s">
        <v>360</v>
      </c>
      <c r="H141" s="2" t="s">
        <v>370</v>
      </c>
      <c r="I141" s="2" t="s">
        <v>31</v>
      </c>
      <c r="J141" s="2">
        <v>39.24</v>
      </c>
      <c r="K141" s="2" t="s">
        <v>116</v>
      </c>
      <c r="L141" s="22">
        <f t="shared" si="22"/>
        <v>5807520</v>
      </c>
      <c r="M141" s="2">
        <v>39.24</v>
      </c>
      <c r="N141" s="21">
        <v>43120.836000000003</v>
      </c>
      <c r="O141" s="22">
        <f t="shared" si="23"/>
        <v>148000</v>
      </c>
      <c r="P141" s="2">
        <f t="shared" si="24"/>
        <v>0</v>
      </c>
      <c r="Q141" s="24">
        <f t="shared" si="25"/>
        <v>9.8100000000000007E-2</v>
      </c>
      <c r="R141" s="24">
        <f t="shared" si="26"/>
        <v>-9.8100000000000007E-2</v>
      </c>
      <c r="S141" s="23">
        <f t="shared" si="31"/>
        <v>0</v>
      </c>
      <c r="T141" s="3">
        <v>0</v>
      </c>
      <c r="U141" s="3">
        <f t="shared" si="27"/>
        <v>0</v>
      </c>
      <c r="V141" s="2">
        <v>0</v>
      </c>
      <c r="W141" s="2">
        <f t="shared" si="32"/>
        <v>0</v>
      </c>
      <c r="X141" s="25">
        <f t="shared" si="28"/>
        <v>148000</v>
      </c>
      <c r="Y141" s="25">
        <f t="shared" si="29"/>
        <v>134680.13468013468</v>
      </c>
      <c r="Z141" s="25">
        <f t="shared" si="30"/>
        <v>134.68013468013467</v>
      </c>
      <c r="AA141" s="2" t="s">
        <v>366</v>
      </c>
      <c r="AB141" s="2" t="s">
        <v>373</v>
      </c>
      <c r="AC141" s="2">
        <v>51367</v>
      </c>
      <c r="AD141" s="2"/>
      <c r="AE141" s="4"/>
    </row>
    <row r="142" spans="1:31" x14ac:dyDescent="0.25">
      <c r="A142" s="1" t="s">
        <v>26</v>
      </c>
      <c r="B142" s="1" t="s">
        <v>27</v>
      </c>
      <c r="C142" s="2">
        <v>220426102</v>
      </c>
      <c r="D142" s="2" t="s">
        <v>28</v>
      </c>
      <c r="E142" s="2">
        <v>11</v>
      </c>
      <c r="F142" s="15">
        <v>190826021057</v>
      </c>
      <c r="G142" s="2" t="s">
        <v>374</v>
      </c>
      <c r="H142" s="2" t="s">
        <v>375</v>
      </c>
      <c r="I142" s="2" t="s">
        <v>51</v>
      </c>
      <c r="J142" s="2">
        <v>10.14</v>
      </c>
      <c r="K142" s="2" t="s">
        <v>116</v>
      </c>
      <c r="L142" s="22">
        <f t="shared" si="22"/>
        <v>1500720</v>
      </c>
      <c r="M142" s="2">
        <v>10.093999999999999</v>
      </c>
      <c r="N142" s="21">
        <v>11092.2966</v>
      </c>
      <c r="O142" s="22">
        <f t="shared" si="23"/>
        <v>148674.46007529227</v>
      </c>
      <c r="P142" s="2">
        <f t="shared" si="24"/>
        <v>4.6000000000001151E-2</v>
      </c>
      <c r="Q142" s="24">
        <f t="shared" si="25"/>
        <v>2.5350000000000001E-2</v>
      </c>
      <c r="R142" s="24">
        <f t="shared" si="26"/>
        <v>2.065000000000115E-2</v>
      </c>
      <c r="S142" s="23">
        <f t="shared" si="31"/>
        <v>3056.2000000001703</v>
      </c>
      <c r="T142" s="3">
        <v>0</v>
      </c>
      <c r="U142" s="3">
        <f t="shared" si="27"/>
        <v>0</v>
      </c>
      <c r="V142" s="2">
        <v>0</v>
      </c>
      <c r="W142" s="2">
        <f t="shared" si="32"/>
        <v>0</v>
      </c>
      <c r="X142" s="25">
        <f t="shared" si="28"/>
        <v>148674.46007529227</v>
      </c>
      <c r="Y142" s="25">
        <f t="shared" si="29"/>
        <v>135293.89396240993</v>
      </c>
      <c r="Z142" s="25">
        <f t="shared" si="30"/>
        <v>135.29389396240992</v>
      </c>
      <c r="AA142" s="2" t="s">
        <v>366</v>
      </c>
      <c r="AB142" s="2" t="s">
        <v>376</v>
      </c>
      <c r="AC142" s="2">
        <v>3703</v>
      </c>
      <c r="AD142" s="2"/>
      <c r="AE142" s="4"/>
    </row>
    <row r="143" spans="1:31" x14ac:dyDescent="0.25">
      <c r="A143" s="1" t="s">
        <v>26</v>
      </c>
      <c r="B143" s="1" t="s">
        <v>27</v>
      </c>
      <c r="C143" s="2">
        <v>220626079</v>
      </c>
      <c r="D143" s="2" t="s">
        <v>28</v>
      </c>
      <c r="E143" s="2">
        <v>28</v>
      </c>
      <c r="F143" s="15">
        <v>190826021058</v>
      </c>
      <c r="G143" s="2" t="s">
        <v>374</v>
      </c>
      <c r="H143" s="2" t="s">
        <v>375</v>
      </c>
      <c r="I143" s="2" t="s">
        <v>51</v>
      </c>
      <c r="J143" s="2">
        <v>27.88</v>
      </c>
      <c r="K143" s="2" t="s">
        <v>121</v>
      </c>
      <c r="L143" s="22">
        <f t="shared" si="22"/>
        <v>4600200</v>
      </c>
      <c r="M143" s="2">
        <v>27.756</v>
      </c>
      <c r="N143" s="21">
        <v>30501.0684</v>
      </c>
      <c r="O143" s="22">
        <f t="shared" si="23"/>
        <v>165737.13791612623</v>
      </c>
      <c r="P143" s="2">
        <f t="shared" si="24"/>
        <v>0.12399999999999878</v>
      </c>
      <c r="Q143" s="24">
        <f t="shared" si="25"/>
        <v>6.9699999999999998E-2</v>
      </c>
      <c r="R143" s="24">
        <f t="shared" si="26"/>
        <v>5.429999999999878E-2</v>
      </c>
      <c r="S143" s="23">
        <f t="shared" si="31"/>
        <v>8959.4999999997981</v>
      </c>
      <c r="T143" s="3">
        <v>0</v>
      </c>
      <c r="U143" s="3">
        <f t="shared" si="27"/>
        <v>0</v>
      </c>
      <c r="V143" s="2">
        <v>0</v>
      </c>
      <c r="W143" s="2">
        <f t="shared" si="32"/>
        <v>0</v>
      </c>
      <c r="X143" s="25">
        <f t="shared" si="28"/>
        <v>165737.13791612623</v>
      </c>
      <c r="Y143" s="25">
        <f t="shared" si="29"/>
        <v>150820.94632462118</v>
      </c>
      <c r="Z143" s="25">
        <f t="shared" si="30"/>
        <v>150.82094632462119</v>
      </c>
      <c r="AA143" s="2" t="s">
        <v>366</v>
      </c>
      <c r="AB143" s="2" t="s">
        <v>376</v>
      </c>
      <c r="AC143" s="2">
        <v>3703</v>
      </c>
      <c r="AD143" s="2"/>
      <c r="AE143" s="4"/>
    </row>
    <row r="144" spans="1:31" x14ac:dyDescent="0.25">
      <c r="A144" s="1" t="s">
        <v>26</v>
      </c>
      <c r="B144" s="1" t="s">
        <v>27</v>
      </c>
      <c r="C144" s="2">
        <v>220726068</v>
      </c>
      <c r="D144" s="2" t="s">
        <v>28</v>
      </c>
      <c r="E144" s="2">
        <v>22</v>
      </c>
      <c r="F144" s="15">
        <v>192426049295</v>
      </c>
      <c r="G144" s="2" t="s">
        <v>370</v>
      </c>
      <c r="H144" s="2" t="s">
        <v>375</v>
      </c>
      <c r="I144" s="2" t="s">
        <v>106</v>
      </c>
      <c r="J144" s="2">
        <v>21.37</v>
      </c>
      <c r="K144" s="2" t="s">
        <v>116</v>
      </c>
      <c r="L144" s="22">
        <f t="shared" si="22"/>
        <v>3162760</v>
      </c>
      <c r="M144" s="2">
        <v>21.315000000000001</v>
      </c>
      <c r="N144" s="21">
        <v>23423.053500000002</v>
      </c>
      <c r="O144" s="22">
        <f t="shared" si="23"/>
        <v>148381.89068730941</v>
      </c>
      <c r="P144" s="2">
        <f t="shared" si="24"/>
        <v>5.4999999999999716E-2</v>
      </c>
      <c r="Q144" s="24">
        <f t="shared" si="25"/>
        <v>5.3425E-2</v>
      </c>
      <c r="R144" s="24">
        <f t="shared" si="26"/>
        <v>1.5749999999997155E-3</v>
      </c>
      <c r="S144" s="23">
        <f t="shared" si="31"/>
        <v>233.0999999999579</v>
      </c>
      <c r="T144" s="3">
        <v>0</v>
      </c>
      <c r="U144" s="3">
        <f t="shared" si="27"/>
        <v>0</v>
      </c>
      <c r="V144" s="2">
        <v>0</v>
      </c>
      <c r="W144" s="2">
        <f t="shared" si="32"/>
        <v>0</v>
      </c>
      <c r="X144" s="25">
        <f t="shared" si="28"/>
        <v>148381.89068730941</v>
      </c>
      <c r="Y144" s="25">
        <f t="shared" si="29"/>
        <v>135027.65555310712</v>
      </c>
      <c r="Z144" s="25">
        <f t="shared" si="30"/>
        <v>135.02765555310711</v>
      </c>
      <c r="AA144" s="2" t="s">
        <v>108</v>
      </c>
      <c r="AB144" s="2" t="s">
        <v>377</v>
      </c>
      <c r="AC144" s="2">
        <v>545</v>
      </c>
      <c r="AD144" s="2"/>
      <c r="AE144" s="4"/>
    </row>
    <row r="145" spans="1:31" x14ac:dyDescent="0.25">
      <c r="A145" s="1" t="s">
        <v>26</v>
      </c>
      <c r="B145" s="1" t="s">
        <v>27</v>
      </c>
      <c r="C145" s="2">
        <v>220626178</v>
      </c>
      <c r="D145" s="2" t="s">
        <v>28</v>
      </c>
      <c r="E145" s="2">
        <v>18</v>
      </c>
      <c r="F145" s="15">
        <v>192426049294</v>
      </c>
      <c r="G145" s="2" t="s">
        <v>370</v>
      </c>
      <c r="H145" s="2" t="s">
        <v>375</v>
      </c>
      <c r="I145" s="2" t="s">
        <v>106</v>
      </c>
      <c r="J145" s="2">
        <v>17.510000000000002</v>
      </c>
      <c r="K145" s="2" t="s">
        <v>158</v>
      </c>
      <c r="L145" s="22">
        <f t="shared" si="22"/>
        <v>2582725</v>
      </c>
      <c r="M145" s="2">
        <v>17.465</v>
      </c>
      <c r="N145" s="21">
        <v>19192.288499999999</v>
      </c>
      <c r="O145" s="22">
        <f t="shared" si="23"/>
        <v>147880.04580589751</v>
      </c>
      <c r="P145" s="2">
        <f t="shared" si="24"/>
        <v>4.5000000000001705E-2</v>
      </c>
      <c r="Q145" s="24">
        <f t="shared" si="25"/>
        <v>4.3775000000000001E-2</v>
      </c>
      <c r="R145" s="24">
        <f t="shared" si="26"/>
        <v>1.2250000000017039E-3</v>
      </c>
      <c r="S145" s="23">
        <f t="shared" si="31"/>
        <v>180.68750000025133</v>
      </c>
      <c r="T145" s="3">
        <v>0</v>
      </c>
      <c r="U145" s="3">
        <f t="shared" si="27"/>
        <v>0</v>
      </c>
      <c r="V145" s="2">
        <v>0</v>
      </c>
      <c r="W145" s="2">
        <f t="shared" si="32"/>
        <v>0</v>
      </c>
      <c r="X145" s="25">
        <f t="shared" si="28"/>
        <v>147880.04580589751</v>
      </c>
      <c r="Y145" s="25">
        <f t="shared" si="29"/>
        <v>134570.976254343</v>
      </c>
      <c r="Z145" s="25">
        <f t="shared" si="30"/>
        <v>134.57097625434301</v>
      </c>
      <c r="AA145" s="2" t="s">
        <v>108</v>
      </c>
      <c r="AB145" s="2" t="s">
        <v>377</v>
      </c>
      <c r="AC145" s="2">
        <v>545</v>
      </c>
      <c r="AD145" s="2"/>
      <c r="AE145" s="4"/>
    </row>
    <row r="146" spans="1:31" x14ac:dyDescent="0.25">
      <c r="A146" s="1" t="s">
        <v>26</v>
      </c>
      <c r="B146" s="1" t="s">
        <v>35</v>
      </c>
      <c r="C146" s="2">
        <v>220726045</v>
      </c>
      <c r="D146" s="2" t="s">
        <v>36</v>
      </c>
      <c r="E146" s="2">
        <v>40</v>
      </c>
      <c r="F146" s="15" t="s">
        <v>378</v>
      </c>
      <c r="G146" s="2" t="s">
        <v>357</v>
      </c>
      <c r="H146" s="2" t="s">
        <v>379</v>
      </c>
      <c r="I146" s="2" t="s">
        <v>89</v>
      </c>
      <c r="J146" s="2">
        <v>39.57</v>
      </c>
      <c r="K146" s="2" t="s">
        <v>346</v>
      </c>
      <c r="L146" s="22">
        <f t="shared" si="22"/>
        <v>6125436</v>
      </c>
      <c r="M146" s="2">
        <v>39.450000000000003</v>
      </c>
      <c r="N146" s="21">
        <v>43351.604999999996</v>
      </c>
      <c r="O146" s="22">
        <f t="shared" si="23"/>
        <v>155270.8745247148</v>
      </c>
      <c r="P146" s="2">
        <f t="shared" si="24"/>
        <v>0.11999999999999744</v>
      </c>
      <c r="Q146" s="24">
        <f t="shared" si="25"/>
        <v>9.8924999999999999E-2</v>
      </c>
      <c r="R146" s="24">
        <f t="shared" si="26"/>
        <v>2.1074999999997443E-2</v>
      </c>
      <c r="S146" s="23">
        <f t="shared" si="31"/>
        <v>3262.4099999996042</v>
      </c>
      <c r="T146" s="3">
        <v>3500</v>
      </c>
      <c r="U146" s="3">
        <f t="shared" si="27"/>
        <v>138075</v>
      </c>
      <c r="V146" s="2">
        <v>0</v>
      </c>
      <c r="W146" s="2">
        <f t="shared" si="32"/>
        <v>0</v>
      </c>
      <c r="X146" s="25">
        <f t="shared" si="28"/>
        <v>158770.8745247148</v>
      </c>
      <c r="Y146" s="25">
        <f t="shared" si="29"/>
        <v>144481.64029913078</v>
      </c>
      <c r="Z146" s="25">
        <f t="shared" si="30"/>
        <v>144.48164029913079</v>
      </c>
      <c r="AA146" s="2" t="s">
        <v>38</v>
      </c>
      <c r="AB146" s="2" t="s">
        <v>42</v>
      </c>
      <c r="AC146" s="2">
        <v>8568</v>
      </c>
      <c r="AD146" s="2"/>
      <c r="AE146" s="4"/>
    </row>
    <row r="147" spans="1:31" x14ac:dyDescent="0.25">
      <c r="A147" s="1" t="s">
        <v>26</v>
      </c>
      <c r="B147" s="1" t="s">
        <v>27</v>
      </c>
      <c r="C147" s="2">
        <v>220726068</v>
      </c>
      <c r="D147" s="2" t="s">
        <v>28</v>
      </c>
      <c r="E147" s="2">
        <v>39</v>
      </c>
      <c r="F147" s="15">
        <v>192426049695</v>
      </c>
      <c r="G147" s="2" t="s">
        <v>380</v>
      </c>
      <c r="H147" s="2" t="s">
        <v>381</v>
      </c>
      <c r="I147" s="2" t="s">
        <v>106</v>
      </c>
      <c r="J147" s="2">
        <v>38.909999999999997</v>
      </c>
      <c r="K147" s="2" t="s">
        <v>116</v>
      </c>
      <c r="L147" s="22">
        <f t="shared" si="22"/>
        <v>5758679.9999999991</v>
      </c>
      <c r="M147" s="2">
        <v>38.799999999999997</v>
      </c>
      <c r="N147" s="21">
        <v>42637.319999999992</v>
      </c>
      <c r="O147" s="22">
        <f t="shared" si="23"/>
        <v>148419.58762886596</v>
      </c>
      <c r="P147" s="2">
        <f t="shared" si="24"/>
        <v>0.10999999999999943</v>
      </c>
      <c r="Q147" s="24">
        <f t="shared" si="25"/>
        <v>9.7275E-2</v>
      </c>
      <c r="R147" s="24">
        <f t="shared" si="26"/>
        <v>1.2724999999999431E-2</v>
      </c>
      <c r="S147" s="23">
        <f t="shared" si="31"/>
        <v>1883.2999999999158</v>
      </c>
      <c r="T147" s="3">
        <v>0</v>
      </c>
      <c r="U147" s="3">
        <f t="shared" si="27"/>
        <v>0</v>
      </c>
      <c r="V147" s="2">
        <v>0</v>
      </c>
      <c r="W147" s="2">
        <f t="shared" si="32"/>
        <v>0</v>
      </c>
      <c r="X147" s="25">
        <f t="shared" si="28"/>
        <v>148419.58762886596</v>
      </c>
      <c r="Y147" s="25">
        <f t="shared" si="29"/>
        <v>135061.95980422784</v>
      </c>
      <c r="Z147" s="25">
        <f t="shared" si="30"/>
        <v>135.06195980422783</v>
      </c>
      <c r="AA147" s="2" t="s">
        <v>53</v>
      </c>
      <c r="AB147" s="2" t="s">
        <v>382</v>
      </c>
      <c r="AC147" s="2">
        <v>14763</v>
      </c>
      <c r="AD147" s="2"/>
      <c r="AE147" s="4"/>
    </row>
    <row r="148" spans="1:31" x14ac:dyDescent="0.25">
      <c r="A148" s="1" t="s">
        <v>26</v>
      </c>
      <c r="B148" s="1" t="s">
        <v>61</v>
      </c>
      <c r="C148" s="2">
        <v>220726109</v>
      </c>
      <c r="D148" s="2" t="s">
        <v>36</v>
      </c>
      <c r="E148" s="2">
        <v>42</v>
      </c>
      <c r="F148" s="15" t="s">
        <v>384</v>
      </c>
      <c r="G148" s="2" t="s">
        <v>370</v>
      </c>
      <c r="H148" s="2" t="s">
        <v>383</v>
      </c>
      <c r="I148" s="2" t="s">
        <v>64</v>
      </c>
      <c r="J148" s="2">
        <v>41.045000000000002</v>
      </c>
      <c r="K148" s="2" t="s">
        <v>385</v>
      </c>
      <c r="L148" s="22">
        <f t="shared" si="22"/>
        <v>6813470</v>
      </c>
      <c r="M148" s="2">
        <v>40.76</v>
      </c>
      <c r="N148" s="21">
        <v>44791.163999999997</v>
      </c>
      <c r="O148" s="22">
        <f t="shared" si="23"/>
        <v>167160.69676153091</v>
      </c>
      <c r="P148" s="2">
        <f t="shared" si="24"/>
        <v>0.28500000000000369</v>
      </c>
      <c r="Q148" s="24">
        <f t="shared" si="25"/>
        <v>0.10261250000000001</v>
      </c>
      <c r="R148" s="24">
        <f t="shared" si="26"/>
        <v>0.1823875000000037</v>
      </c>
      <c r="S148" s="23">
        <f t="shared" si="31"/>
        <v>30276.325000000616</v>
      </c>
      <c r="T148" s="3">
        <v>4000</v>
      </c>
      <c r="U148" s="3">
        <f t="shared" si="27"/>
        <v>163040</v>
      </c>
      <c r="V148" s="2">
        <v>0</v>
      </c>
      <c r="W148" s="2">
        <f t="shared" si="32"/>
        <v>0</v>
      </c>
      <c r="X148" s="25">
        <f t="shared" si="28"/>
        <v>171160.69676153091</v>
      </c>
      <c r="Y148" s="25">
        <f t="shared" si="29"/>
        <v>155756.38980938293</v>
      </c>
      <c r="Z148" s="25">
        <f t="shared" si="30"/>
        <v>155.75638980938294</v>
      </c>
      <c r="AA148" s="2" t="s">
        <v>38</v>
      </c>
      <c r="AB148" s="2" t="s">
        <v>41</v>
      </c>
      <c r="AC148" s="2">
        <v>8670</v>
      </c>
      <c r="AD148" s="2"/>
      <c r="AE148" s="4"/>
    </row>
    <row r="149" spans="1:31" x14ac:dyDescent="0.25">
      <c r="A149" s="6"/>
      <c r="B149" s="6"/>
      <c r="C149" s="7"/>
      <c r="D149" s="7"/>
      <c r="E149" s="7"/>
      <c r="F149" s="13"/>
      <c r="G149" s="7"/>
      <c r="H149" s="7"/>
      <c r="I149" s="7"/>
      <c r="J149" s="7"/>
      <c r="K149" s="7"/>
      <c r="L149" s="11"/>
      <c r="M149" s="7"/>
      <c r="N149" s="7"/>
      <c r="O149" s="7"/>
      <c r="P149" s="7"/>
      <c r="Q149" s="9"/>
      <c r="R149" s="9"/>
      <c r="S149" s="9"/>
      <c r="T149" s="9"/>
      <c r="U149" s="9"/>
      <c r="V149" s="7"/>
      <c r="W149" s="7"/>
      <c r="X149" s="7"/>
      <c r="Y149" s="7"/>
      <c r="Z149" s="7"/>
      <c r="AA149" s="7"/>
      <c r="AB149" s="7"/>
      <c r="AC149" s="7"/>
      <c r="AD149" s="7"/>
      <c r="AE149" s="10"/>
    </row>
  </sheetData>
  <autoFilter ref="A1:AE148" xr:uid="{35A8DEC7-6DD1-4EC9-9E1B-BE0252FFFE9A}"/>
  <pageMargins left="0.7" right="0.7" top="0.75" bottom="0.75" header="0.3" footer="0.3"/>
  <ignoredErrors>
    <ignoredError sqref="K2:K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Gurpreet Singh</dc:creator>
  <cp:lastModifiedBy>JIVO 001</cp:lastModifiedBy>
  <dcterms:created xsi:type="dcterms:W3CDTF">2026-08-04T06:07:55Z</dcterms:created>
  <dcterms:modified xsi:type="dcterms:W3CDTF">2026-08-04T07:34:22Z</dcterms:modified>
</cp:coreProperties>
</file>